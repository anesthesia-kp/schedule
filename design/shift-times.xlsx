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times" sheetId="1" state="visible" r:id="rId3"/>
    <sheet name="Summary" sheetId="2" state="visible" r:id="rId4"/>
  </sheets>
  <definedNames>
    <definedName function="false" hidden="true" localSheetId="0" name="_xlnm._FilterDatabase" vbProcedure="false">'Shift times'!$A$6:$L$97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Type 24-hour times as HH:MM, e.g. 15:30. A shift that ends earlier than it starts is read as crossing midnight — Call 24 (07:30-07:30) is a full 24 hours.</t>
        </r>
      </text>
    </comment>
  </commentList>
</comments>
</file>

<file path=xl/sharedStrings.xml><?xml version="1.0" encoding="utf-8"?>
<sst xmlns="http://schemas.openxmlformats.org/spreadsheetml/2006/main" count="944" uniqueCount="263">
  <si>
    <t xml:space="preserve">Daily Schedule — proposed shift times</t>
  </si>
  <si>
    <t xml:space="preserve">All 91 shifts in the live catalog. 24-hour clock throughout. Edit anything: this sheet is the input for the admin site's bulk import.</t>
  </si>
  <si>
    <t xml:space="preserve">GREEN = you specified it (15 Aug 2026).   AMBER = Claude's best guess — please check.   RED = the shift LABEL itself is unverified (transcribed from an unclear photo).</t>
  </si>
  <si>
    <t xml:space="preserve">Type times as HH:MM on a 24-hour clock. Leave both blank for a shift that has no fixed hours. "Overnight" is worked out for you and should not be typed.</t>
  </si>
  <si>
    <t xml:space="preserve">SITES are pre-filled from your rule — Richmond if the label starts with RCH or R, Oakland otherwise. Rows marked CHECK ME in "Site from" did not fit the rule cleanly.</t>
  </si>
  <si>
    <t xml:space="preserve">Shift (label)</t>
  </si>
  <si>
    <t xml:space="preserve">ID</t>
  </si>
  <si>
    <t xml:space="preserve">Family</t>
  </si>
  <si>
    <t xml:space="preserve">Counts as</t>
  </si>
  <si>
    <t xml:space="preserve">Start (24h)</t>
  </si>
  <si>
    <t xml:space="preserve">End (24h)</t>
  </si>
  <si>
    <t xml:space="preserve">Hours</t>
  </si>
  <si>
    <t xml:space="preserve">Overnight</t>
  </si>
  <si>
    <t xml:space="preserve">Site</t>
  </si>
  <si>
    <t xml:space="preserve">Site from</t>
  </si>
  <si>
    <t xml:space="preserve">Time source</t>
  </si>
  <si>
    <t xml:space="preserve">Why this time / site — what to check</t>
  </si>
  <si>
    <t xml:space="preserve">C2AP</t>
  </si>
  <si>
    <t xml:space="preserve">Call</t>
  </si>
  <si>
    <t xml:space="preserve">15:30</t>
  </si>
  <si>
    <t xml:space="preserve">07:30</t>
  </si>
  <si>
    <t xml:space="preserve">Oakland</t>
  </si>
  <si>
    <t xml:space="preserve">OWNER RULE (default)</t>
  </si>
  <si>
    <t xml:space="preserve">ESTIMATED</t>
  </si>
  <si>
    <t xml:space="preserve">SUSPECT: guessed evening/overnight purely because it sits in the call family. Eye Call disproved that reasoning — please check.</t>
  </si>
  <si>
    <t xml:space="preserve">C2PA</t>
  </si>
  <si>
    <t xml:space="preserve">Call 12 AM</t>
  </si>
  <si>
    <t xml:space="preserve">CALL12AM</t>
  </si>
  <si>
    <t xml:space="preserve">19:30</t>
  </si>
  <si>
    <t xml:space="preserve">the day half, mirroring the confirmed Call 12 PM (19:30-07:30)</t>
  </si>
  <si>
    <t xml:space="preserve">Call 12 PM</t>
  </si>
  <si>
    <t xml:space="preserve">CALL12PM</t>
  </si>
  <si>
    <t xml:space="preserve">CONFIRMED</t>
  </si>
  <si>
    <t xml:space="preserve">"Call 12 pm is 19:30-730 next day"</t>
  </si>
  <si>
    <t xml:space="preserve">Call 16</t>
  </si>
  <si>
    <t xml:space="preserve">CALL16</t>
  </si>
  <si>
    <t xml:space="preserve">"Call16 is 1530-7:30 next day"</t>
  </si>
  <si>
    <t xml:space="preserve">Call 24</t>
  </si>
  <si>
    <t xml:space="preserve">CALL24</t>
  </si>
  <si>
    <t xml:space="preserve">"Call 24 is 730-730"</t>
  </si>
  <si>
    <t xml:space="preserve">Call 8</t>
  </si>
  <si>
    <t xml:space="preserve">CALL8</t>
  </si>
  <si>
    <t xml:space="preserve">23:30</t>
  </si>
  <si>
    <t xml:space="preserve">SUSPECT: 8h assumed as the overnight tail. Could equally be 15:30-23:30, or day hours — Eye Call showed a call-family shift can run 07:30-15:30.</t>
  </si>
  <si>
    <t xml:space="preserve">Eye Call</t>
  </si>
  <si>
    <t xml:space="preserve">EYE_CALL</t>
  </si>
  <si>
    <t xml:space="preserve">"Eye call is 730-1530" (owner, 16 Aug). A DAY-hours shift that still counts as call.</t>
  </si>
  <si>
    <t xml:space="preserve">OB PM</t>
  </si>
  <si>
    <t xml:space="preserve">OBPM</t>
  </si>
  <si>
    <t xml:space="preserve">"OBPM same as 12PM"</t>
  </si>
  <si>
    <t xml:space="preserve">PCV Call</t>
  </si>
  <si>
    <t xml:space="preserve">PCV_CALL</t>
  </si>
  <si>
    <t xml:space="preserve">SUSPECT: guessed 24h purely because it is called "call". Eye Call turned out to be 07:30-15:30 day hours, so that reasoning is unreliable — please check.</t>
  </si>
  <si>
    <t xml:space="preserve">OBAP</t>
  </si>
  <si>
    <t xml:space="preserve">OB / Obstetric</t>
  </si>
  <si>
    <t xml:space="preserve">Day</t>
  </si>
  <si>
    <t xml:space="preserve">AP in the name, so 12h assumed</t>
  </si>
  <si>
    <t xml:space="preserve">OBD</t>
  </si>
  <si>
    <t xml:space="preserve">OB day work, 8h assumed</t>
  </si>
  <si>
    <t xml:space="preserve">OBPA</t>
  </si>
  <si>
    <t xml:space="preserve">AP (CRNA)</t>
  </si>
  <si>
    <t xml:space="preserve">AP_CRNA</t>
  </si>
  <si>
    <t xml:space="preserve">AP coverage</t>
  </si>
  <si>
    <t xml:space="preserve">"AP last 12"</t>
  </si>
  <si>
    <t xml:space="preserve">AP (MD)</t>
  </si>
  <si>
    <t xml:space="preserve">AP_MD</t>
  </si>
  <si>
    <t xml:space="preserve">AP+</t>
  </si>
  <si>
    <t xml:space="preserve">AP_PLUS</t>
  </si>
  <si>
    <t xml:space="preserve">AP-family, so 12h assumed from "AP last 12"</t>
  </si>
  <si>
    <t xml:space="preserve">AP+ (MD)</t>
  </si>
  <si>
    <t xml:space="preserve">AP_PLUS_MD</t>
  </si>
  <si>
    <t xml:space="preserve">CRNA Swing</t>
  </si>
  <si>
    <t xml:space="preserve">CRNA_SWING</t>
  </si>
  <si>
    <t xml:space="preserve">11:30</t>
  </si>
  <si>
    <t xml:space="preserve">"swing" assumed to bridge day and evening (8h)</t>
  </si>
  <si>
    <t xml:space="preserve">PA</t>
  </si>
  <si>
    <t xml:space="preserve">11-7:30</t>
  </si>
  <si>
    <t xml:space="preserve">D_11_7_30</t>
  </si>
  <si>
    <t xml:space="preserve">D-shift</t>
  </si>
  <si>
    <t xml:space="preserve">11:00</t>
  </si>
  <si>
    <t xml:space="preserve">read straight off the label "11-7:30" (12h clock). Could be 11:30</t>
  </si>
  <si>
    <t xml:space="preserve">4 to 8</t>
  </si>
  <si>
    <t xml:space="preserve">4_TO_8</t>
  </si>
  <si>
    <t xml:space="preserve">"4 to 8 is 15:30-19:30"</t>
  </si>
  <si>
    <t xml:space="preserve">6 to 8</t>
  </si>
  <si>
    <t xml:space="preserve">6_TO_8</t>
  </si>
  <si>
    <t xml:space="preserve">17:30</t>
  </si>
  <si>
    <t xml:space="preserve">"6 to 8 17:30-19:30"</t>
  </si>
  <si>
    <t xml:space="preserve">CH</t>
  </si>
  <si>
    <t xml:space="preserve">D-shift family; 8h assumed. NOT named by the owner as a D shift</t>
  </si>
  <si>
    <t xml:space="preserve">CVpm</t>
  </si>
  <si>
    <t xml:space="preserve">CVPM</t>
  </si>
  <si>
    <t xml:space="preserve">13:30</t>
  </si>
  <si>
    <t xml:space="preserve">"Cvpm is 1330-1730"</t>
  </si>
  <si>
    <t xml:space="preserve">D</t>
  </si>
  <si>
    <t xml:space="preserve">"all D shifts start 7:30 … last 8 hours"</t>
  </si>
  <si>
    <t xml:space="preserve">D am</t>
  </si>
  <si>
    <t xml:space="preserve">D_AM</t>
  </si>
  <si>
    <t xml:space="preserve">"DAM is 730-1130"</t>
  </si>
  <si>
    <t xml:space="preserve">D pm</t>
  </si>
  <si>
    <t xml:space="preserve">D_PM</t>
  </si>
  <si>
    <t xml:space="preserve">"DPM is actually 1130-1530"</t>
  </si>
  <si>
    <t xml:space="preserve">D-IR</t>
  </si>
  <si>
    <t xml:space="preserve">D_IR</t>
  </si>
  <si>
    <t xml:space="preserve">D10</t>
  </si>
  <si>
    <t xml:space="preserve">"D10 last 10"</t>
  </si>
  <si>
    <t xml:space="preserve">D10 Float</t>
  </si>
  <si>
    <t xml:space="preserve">D10_FLOAT</t>
  </si>
  <si>
    <t xml:space="preserve">D10 variant, 10h assumed</t>
  </si>
  <si>
    <t xml:space="preserve">D10+</t>
  </si>
  <si>
    <t xml:space="preserve">D10_PLUS</t>
  </si>
  <si>
    <t xml:space="preserve">D10Float2</t>
  </si>
  <si>
    <t xml:space="preserve">D10_FLOAT2</t>
  </si>
  <si>
    <t xml:space="preserve">D6</t>
  </si>
  <si>
    <t xml:space="preserve">"D6 until 13:30"</t>
  </si>
  <si>
    <t xml:space="preserve">EV</t>
  </si>
  <si>
    <t xml:space="preserve">"Ev is 1530-2330" (owner correction, 16 Aug — supersedes the earlier "15:30-730 next day")</t>
  </si>
  <si>
    <t xml:space="preserve">MD Sat D</t>
  </si>
  <si>
    <t xml:space="preserve">MD_SAT_D</t>
  </si>
  <si>
    <t xml:space="preserve">OFL</t>
  </si>
  <si>
    <t xml:space="preserve">"PACU, OFL, also same is D shifts"</t>
  </si>
  <si>
    <t xml:space="preserve">Out of OR D10</t>
  </si>
  <si>
    <t xml:space="preserve">OUT_OF_OR_D10</t>
  </si>
  <si>
    <t xml:space="preserve">PACU MD</t>
  </si>
  <si>
    <t xml:space="preserve">PACU_MD</t>
  </si>
  <si>
    <t xml:space="preserve">SMOB Uro</t>
  </si>
  <si>
    <t xml:space="preserve">SMOB_URO</t>
  </si>
  <si>
    <t xml:space="preserve">CHECK ME</t>
  </si>
  <si>
    <t xml:space="preserve">D-shift family; 8h assumed. NOT named by the owner as a D shift | SITE: "SMOB" is neither R nor an obvious Oakland marker — Oakland by default. Confirm?</t>
  </si>
  <si>
    <t xml:space="preserve">CV8+</t>
  </si>
  <si>
    <t xml:space="preserve">CV8_PLUS</t>
  </si>
  <si>
    <t xml:space="preserve">ICU</t>
  </si>
  <si>
    <t xml:space="preserve">LABEL UNVERIFIED (photo unclear). 8 read as 8 hours</t>
  </si>
  <si>
    <t xml:space="preserve">ICU3</t>
  </si>
  <si>
    <t xml:space="preserve">the 3 read as a slot number, not a duration; 8h assumed</t>
  </si>
  <si>
    <t xml:space="preserve">ICU7A12</t>
  </si>
  <si>
    <t xml:space="preserve">the trailing 12 read as 12 hours from 07:30</t>
  </si>
  <si>
    <t xml:space="preserve">ICU7A8</t>
  </si>
  <si>
    <t xml:space="preserve">the trailing 8 read as 8 hours from 07:30</t>
  </si>
  <si>
    <t xml:space="preserve">ICU7B12</t>
  </si>
  <si>
    <t xml:space="preserve">ICU7B8</t>
  </si>
  <si>
    <t xml:space="preserve">ICU7C12</t>
  </si>
  <si>
    <t xml:space="preserve">ICU7C8</t>
  </si>
  <si>
    <t xml:space="preserve">NICU9+</t>
  </si>
  <si>
    <t xml:space="preserve">NICU9_PLUS</t>
  </si>
  <si>
    <t xml:space="preserve">09:30</t>
  </si>
  <si>
    <t xml:space="preserve">LABEL UNVERIFIED (photo unclear). 9 read as a 09:30 start | SITE: starts with N, so Oakland by your rule — but NICU may sit at Richmond.</t>
  </si>
  <si>
    <t xml:space="preserve">Oak ICU Swing</t>
  </si>
  <si>
    <t xml:space="preserve">OAK_ICU_SWING</t>
  </si>
  <si>
    <t xml:space="preserve">OWNER RULE (name says Oak)</t>
  </si>
  <si>
    <t xml:space="preserve">"swing" assumed to bridge day and evening</t>
  </si>
  <si>
    <t xml:space="preserve">R10</t>
  </si>
  <si>
    <t xml:space="preserve">Richmond</t>
  </si>
  <si>
    <t xml:space="preserve">OWNER RULE (R-start)</t>
  </si>
  <si>
    <t xml:space="preserve">the 10 read as 10 hours</t>
  </si>
  <si>
    <t xml:space="preserve">R11+</t>
  </si>
  <si>
    <t xml:space="preserve">R11_PLUS</t>
  </si>
  <si>
    <t xml:space="preserve">LABEL UNVERIFIED (photo unclear). 11 read as an 11:30 start</t>
  </si>
  <si>
    <t xml:space="preserve">R9/5</t>
  </si>
  <si>
    <t xml:space="preserve">R9_5</t>
  </si>
  <si>
    <t xml:space="preserve">LABEL UNVERIFIED (photo unclear). Read as 9 to 5</t>
  </si>
  <si>
    <t xml:space="preserve">RB MD</t>
  </si>
  <si>
    <t xml:space="preserve">RB_MD</t>
  </si>
  <si>
    <t xml:space="preserve">assumed a standard 8h day | SITE: Richmond from the R-start rule; abbreviation not otherwise decoded.</t>
  </si>
  <si>
    <t xml:space="preserve">RBL 8</t>
  </si>
  <si>
    <t xml:space="preserve">RBL_8</t>
  </si>
  <si>
    <t xml:space="preserve">the 8 read as 8 hours | SITE: Richmond from the R-start rule; abbreviation not otherwise decoded.</t>
  </si>
  <si>
    <t xml:space="preserve">RC0+</t>
  </si>
  <si>
    <t xml:space="preserve">RC0_PLUS</t>
  </si>
  <si>
    <t xml:space="preserve">LABEL UNVERIFIED (photo unclear). Pure guess | SITE: Richmond from the R-start rule; abbreviation not otherwise decoded.</t>
  </si>
  <si>
    <t xml:space="preserve">RCH-ICU A</t>
  </si>
  <si>
    <t xml:space="preserve">RCH_ICU_A</t>
  </si>
  <si>
    <t xml:space="preserve">OWNER RULE</t>
  </si>
  <si>
    <t xml:space="preserve">assumed the 12h day half of a Richmond ICU day/night pair</t>
  </si>
  <si>
    <t xml:space="preserve">RCH-ICU B</t>
  </si>
  <si>
    <t xml:space="preserve">RCH_ICU_B</t>
  </si>
  <si>
    <t xml:space="preserve">assumed the 12h night half of that pair</t>
  </si>
  <si>
    <t xml:space="preserve">RFL</t>
  </si>
  <si>
    <t xml:space="preserve">MRI1</t>
  </si>
  <si>
    <t xml:space="preserve">Pediatric</t>
  </si>
  <si>
    <t xml:space="preserve">assumed a standard 8h day</t>
  </si>
  <si>
    <t xml:space="preserve">NORA</t>
  </si>
  <si>
    <t xml:space="preserve">NORA2</t>
  </si>
  <si>
    <t xml:space="preserve">Pedi Admin</t>
  </si>
  <si>
    <t xml:space="preserve">PEDI_ADMIN</t>
  </si>
  <si>
    <t xml:space="preserve">Pedi Admin AM</t>
  </si>
  <si>
    <t xml:space="preserve">PEDI_ADMIN_AM</t>
  </si>
  <si>
    <t xml:space="preserve">an admin shift, so the admin AM pattern 07:30-11:30</t>
  </si>
  <si>
    <t xml:space="preserve">Pedi Admin PM</t>
  </si>
  <si>
    <t xml:space="preserve">PEDI_ADMIN_PM</t>
  </si>
  <si>
    <t xml:space="preserve">admin PM pattern 13:30-17:30 — now corroborated by both Admin PM and Pedi PM being confirmed at those hours; nothing admin past 17:30</t>
  </si>
  <si>
    <t xml:space="preserve">Pedi AM</t>
  </si>
  <si>
    <t xml:space="preserve">PEDI_AM</t>
  </si>
  <si>
    <t xml:space="preserve">AM matches the confirmed "AM is 730-1130", and pairs with the confirmed Pedi PM 13:30-17:30</t>
  </si>
  <si>
    <t xml:space="preserve">Pedi B</t>
  </si>
  <si>
    <t xml:space="preserve">PEDI_B</t>
  </si>
  <si>
    <t xml:space="preserve">Pedi Cardiac</t>
  </si>
  <si>
    <t xml:space="preserve">PEDI_CARDIAC</t>
  </si>
  <si>
    <t xml:space="preserve">Pedi Charge</t>
  </si>
  <si>
    <t xml:space="preserve">PEDI_CHARGE</t>
  </si>
  <si>
    <t xml:space="preserve">Pedi Float</t>
  </si>
  <si>
    <t xml:space="preserve">PEDI_FLOAT</t>
  </si>
  <si>
    <t xml:space="preserve">Pedi PM</t>
  </si>
  <si>
    <t xml:space="preserve">PEDI_PM</t>
  </si>
  <si>
    <t xml:space="preserve">"Pedi pm 1330-1730" (owner, 16 Aug)</t>
  </si>
  <si>
    <t xml:space="preserve">Podiatry</t>
  </si>
  <si>
    <t xml:space="preserve">PODIATRY</t>
  </si>
  <si>
    <t xml:space="preserve">Purple Room</t>
  </si>
  <si>
    <t xml:space="preserve">PURPLE_ROOM</t>
  </si>
  <si>
    <t xml:space="preserve">P1</t>
  </si>
  <si>
    <t xml:space="preserve">P / PCV</t>
  </si>
  <si>
    <t xml:space="preserve">P1 Tasks</t>
  </si>
  <si>
    <t xml:space="preserve">P1_TASKS</t>
  </si>
  <si>
    <t xml:space="preserve">P2</t>
  </si>
  <si>
    <t xml:space="preserve">P3</t>
  </si>
  <si>
    <t xml:space="preserve">P4</t>
  </si>
  <si>
    <t xml:space="preserve">PCV 1</t>
  </si>
  <si>
    <t xml:space="preserve">PCV1</t>
  </si>
  <si>
    <t xml:space="preserve">PCV 2</t>
  </si>
  <si>
    <t xml:space="preserve">PCV2</t>
  </si>
  <si>
    <t xml:space="preserve">PCV 3</t>
  </si>
  <si>
    <t xml:space="preserve">PCV3</t>
  </si>
  <si>
    <t xml:space="preserve">Admin</t>
  </si>
  <si>
    <t xml:space="preserve">ADMIN</t>
  </si>
  <si>
    <t xml:space="preserve">Admin / other</t>
  </si>
  <si>
    <t xml:space="preserve">Admin AM</t>
  </si>
  <si>
    <t xml:space="preserve">ADMIN_AM</t>
  </si>
  <si>
    <t xml:space="preserve">"AM is 730-1130" (admin)</t>
  </si>
  <si>
    <t xml:space="preserve">Admin PM</t>
  </si>
  <si>
    <t xml:space="preserve">ADMIN_PM</t>
  </si>
  <si>
    <t xml:space="preserve">"admin is an exception … PM is 1330-1730"; nothing admin runs past 17:30</t>
  </si>
  <si>
    <t xml:space="preserve">AIC</t>
  </si>
  <si>
    <t xml:space="preserve">APS</t>
  </si>
  <si>
    <t xml:space="preserve">Available</t>
  </si>
  <si>
    <t xml:space="preserve">AVAILABLE</t>
  </si>
  <si>
    <t xml:space="preserve">looks like a status, not a worked shift — left with no times</t>
  </si>
  <si>
    <t xml:space="preserve">Learner</t>
  </si>
  <si>
    <t xml:space="preserve">LEARNER</t>
  </si>
  <si>
    <t xml:space="preserve">Orient</t>
  </si>
  <si>
    <t xml:space="preserve">ORIENT</t>
  </si>
  <si>
    <t xml:space="preserve">Pain</t>
  </si>
  <si>
    <t xml:space="preserve">PAIN</t>
  </si>
  <si>
    <t xml:space="preserve">SIMA</t>
  </si>
  <si>
    <t xml:space="preserve">TCC</t>
  </si>
  <si>
    <t xml:space="preserve">Where the times came from</t>
  </si>
  <si>
    <t xml:space="preserve">Total shifts in the catalog</t>
  </si>
  <si>
    <t xml:space="preserve">Confirmed by you</t>
  </si>
  <si>
    <t xml:space="preserve">Claude's best guess — needs your check</t>
  </si>
  <si>
    <t xml:space="preserve">Shifts with no times at all</t>
  </si>
  <si>
    <t xml:space="preserve">Overnight shifts (cross midnight)</t>
  </si>
  <si>
    <t xml:space="preserve">Richmond shifts</t>
  </si>
  <si>
    <t xml:space="preserve">Oakland shifts</t>
  </si>
  <si>
    <t xml:space="preserve">Sites needing a look (CHECK ME)</t>
  </si>
  <si>
    <t xml:space="preserve">Still unspecified — please confirm</t>
  </si>
  <si>
    <t xml:space="preserve">• Admin PM / Pedi Admin PM / Pedi PM run 15:30 to 07:30 next day = 16 hours. That follows your two rules exactly, but a 16-hour "Admin PM" is worth a second look.</t>
  </si>
  <si>
    <t xml:space="preserve">• Call 8 — guessed 23:30-07:30. Could equally be 15:30-23:30.</t>
  </si>
  <si>
    <t xml:space="preserve">• "4 to 6" (15:30-17:30) is NOT in the catalog. Add it?</t>
  </si>
  <si>
    <t xml:space="preserve">• Which shifts sit at Richmond? Only RCH-ICU A and RCH-ICU B are certain; everything else is blank rather than assumed Oakland.</t>
  </si>
  <si>
    <t xml:space="preserve">• Five labels were transcribed from an unclear photo and are shown in red: NICU9+, RC0+, R9/5, R11+, CV8+. The label may be wrong, not just the time.</t>
  </si>
  <si>
    <t xml:space="preserve">• Is a person tied to one site for a whole day? If so that is a stronger rule than matching site per shift.</t>
  </si>
  <si>
    <t xml:space="preserve">• NICU9+ starts with N, so Oakland by your rule — but if NICU is at Richmond, change it. Marked CHECK ME.</t>
  </si>
  <si>
    <t xml:space="preserve">• "SMOB Uro" begins with neither R nor an obvious Oakland marker; defaulted to Oakland. Marked CHECK ME.</t>
  </si>
  <si>
    <t xml:space="preserve">• R10, R11+, R9/5, RFL, RB MD, RBL 8 and RC0+ are Richmond purely from the R-start rule — the abbreviations are not otherwise decoded.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</si>
</sst>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A8794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293B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A879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4"/>
      <rgbColor rgb="FF9999FF"/>
      <rgbColor rgb="FF993366"/>
      <rgbColor rgb="FFFEF3C7"/>
      <rgbColor rgb="FFCCFFFF"/>
      <rgbColor rgb="FF660066"/>
      <rgbColor rgb="FFFF8080"/>
      <rgbColor rgb="FF0066CC"/>
      <rgbColor rgb="FFD8E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5" t="s">
        <v>4</v>
      </c>
    </row>
    <row r="6" customFormat="false" ht="23.8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</row>
    <row r="7" customFormat="false" ht="23.85" hidden="false" customHeight="false" outlineLevel="0" collapsed="false">
      <c r="A7" s="7" t="s">
        <v>17</v>
      </c>
      <c r="B7" s="7" t="s">
        <v>17</v>
      </c>
      <c r="C7" s="7" t="s">
        <v>18</v>
      </c>
      <c r="D7" s="8" t="s">
        <v>18</v>
      </c>
      <c r="E7" s="9" t="s">
        <v>19</v>
      </c>
      <c r="F7" s="9" t="s">
        <v>20</v>
      </c>
      <c r="G7" s="8" t="n">
        <f aca="false">IF(OR(E7="",F7=""),"",IF(F7=E7,24,ROUND(MOD(TIMEVALUE(F7)-TIMEVALUE(E7),1)*24,2)))</f>
        <v>16</v>
      </c>
      <c r="H7" s="8" t="str">
        <f aca="false">IF(OR(E7="",F7=""),"",IF(TIMEVALUE(F7)&lt;=TIMEVALUE(E7),"yes",""))</f>
        <v>yes</v>
      </c>
      <c r="I7" s="10" t="s">
        <v>21</v>
      </c>
      <c r="J7" s="11" t="s">
        <v>22</v>
      </c>
      <c r="K7" s="8" t="s">
        <v>23</v>
      </c>
      <c r="L7" s="12" t="s">
        <v>24</v>
      </c>
    </row>
    <row r="8" customFormat="false" ht="23.85" hidden="false" customHeight="false" outlineLevel="0" collapsed="false">
      <c r="A8" s="7" t="s">
        <v>25</v>
      </c>
      <c r="B8" s="7" t="s">
        <v>25</v>
      </c>
      <c r="C8" s="7" t="s">
        <v>18</v>
      </c>
      <c r="D8" s="8" t="s">
        <v>18</v>
      </c>
      <c r="E8" s="9" t="s">
        <v>19</v>
      </c>
      <c r="F8" s="9" t="s">
        <v>20</v>
      </c>
      <c r="G8" s="8" t="n">
        <f aca="false">IF(OR(E8="",F8=""),"",IF(F8=E8,24,ROUND(MOD(TIMEVALUE(F8)-TIMEVALUE(E8),1)*24,2)))</f>
        <v>16</v>
      </c>
      <c r="H8" s="8" t="str">
        <f aca="false">IF(OR(E8="",F8=""),"",IF(TIMEVALUE(F8)&lt;=TIMEVALUE(E8),"yes",""))</f>
        <v>yes</v>
      </c>
      <c r="I8" s="10" t="s">
        <v>21</v>
      </c>
      <c r="J8" s="11" t="s">
        <v>22</v>
      </c>
      <c r="K8" s="8" t="s">
        <v>23</v>
      </c>
      <c r="L8" s="12" t="s">
        <v>24</v>
      </c>
    </row>
    <row r="9" customFormat="false" ht="15" hidden="false" customHeight="false" outlineLevel="0" collapsed="false">
      <c r="A9" s="7" t="s">
        <v>26</v>
      </c>
      <c r="B9" s="7" t="s">
        <v>27</v>
      </c>
      <c r="C9" s="7" t="s">
        <v>18</v>
      </c>
      <c r="D9" s="8" t="s">
        <v>18</v>
      </c>
      <c r="E9" s="9" t="s">
        <v>20</v>
      </c>
      <c r="F9" s="9" t="s">
        <v>28</v>
      </c>
      <c r="G9" s="8" t="n">
        <f aca="false">IF(OR(E9="",F9=""),"",IF(F9=E9,24,ROUND(MOD(TIMEVALUE(F9)-TIMEVALUE(E9),1)*24,2)))</f>
        <v>12</v>
      </c>
      <c r="H9" s="8" t="str">
        <f aca="false">IF(OR(E9="",F9=""),"",IF(TIMEVALUE(F9)&lt;=TIMEVALUE(E9),"yes",""))</f>
        <v/>
      </c>
      <c r="I9" s="10" t="s">
        <v>21</v>
      </c>
      <c r="J9" s="11" t="s">
        <v>22</v>
      </c>
      <c r="K9" s="8" t="s">
        <v>23</v>
      </c>
      <c r="L9" s="12" t="s">
        <v>29</v>
      </c>
    </row>
    <row r="10" customFormat="false" ht="15" hidden="false" customHeight="false" outlineLevel="0" collapsed="false">
      <c r="A10" s="13" t="s">
        <v>30</v>
      </c>
      <c r="B10" s="13" t="s">
        <v>31</v>
      </c>
      <c r="C10" s="13" t="s">
        <v>18</v>
      </c>
      <c r="D10" s="14" t="s">
        <v>18</v>
      </c>
      <c r="E10" s="15" t="s">
        <v>28</v>
      </c>
      <c r="F10" s="15" t="s">
        <v>20</v>
      </c>
      <c r="G10" s="14" t="n">
        <f aca="false">IF(OR(E10="",F10=""),"",IF(F10=E10,24,ROUND(MOD(TIMEVALUE(F10)-TIMEVALUE(E10),1)*24,2)))</f>
        <v>12</v>
      </c>
      <c r="H10" s="14" t="str">
        <f aca="false">IF(OR(E10="",F10=""),"",IF(TIMEVALUE(F10)&lt;=TIMEVALUE(E10),"yes",""))</f>
        <v>yes</v>
      </c>
      <c r="I10" s="16" t="s">
        <v>21</v>
      </c>
      <c r="J10" s="17" t="s">
        <v>22</v>
      </c>
      <c r="K10" s="14" t="s">
        <v>32</v>
      </c>
      <c r="L10" s="18" t="s">
        <v>33</v>
      </c>
    </row>
    <row r="11" customFormat="false" ht="15" hidden="false" customHeight="false" outlineLevel="0" collapsed="false">
      <c r="A11" s="13" t="s">
        <v>34</v>
      </c>
      <c r="B11" s="13" t="s">
        <v>35</v>
      </c>
      <c r="C11" s="13" t="s">
        <v>18</v>
      </c>
      <c r="D11" s="14" t="s">
        <v>18</v>
      </c>
      <c r="E11" s="15" t="s">
        <v>19</v>
      </c>
      <c r="F11" s="15" t="s">
        <v>20</v>
      </c>
      <c r="G11" s="14" t="n">
        <f aca="false">IF(OR(E11="",F11=""),"",IF(F11=E11,24,ROUND(MOD(TIMEVALUE(F11)-TIMEVALUE(E11),1)*24,2)))</f>
        <v>16</v>
      </c>
      <c r="H11" s="14" t="str">
        <f aca="false">IF(OR(E11="",F11=""),"",IF(TIMEVALUE(F11)&lt;=TIMEVALUE(E11),"yes",""))</f>
        <v>yes</v>
      </c>
      <c r="I11" s="16" t="s">
        <v>21</v>
      </c>
      <c r="J11" s="17" t="s">
        <v>22</v>
      </c>
      <c r="K11" s="14" t="s">
        <v>32</v>
      </c>
      <c r="L11" s="18" t="s">
        <v>36</v>
      </c>
    </row>
    <row r="12" customFormat="false" ht="15" hidden="false" customHeight="false" outlineLevel="0" collapsed="false">
      <c r="A12" s="13" t="s">
        <v>37</v>
      </c>
      <c r="B12" s="13" t="s">
        <v>38</v>
      </c>
      <c r="C12" s="13" t="s">
        <v>18</v>
      </c>
      <c r="D12" s="14" t="s">
        <v>18</v>
      </c>
      <c r="E12" s="15" t="s">
        <v>20</v>
      </c>
      <c r="F12" s="15" t="s">
        <v>20</v>
      </c>
      <c r="G12" s="14" t="n">
        <f aca="false">IF(OR(E12="",F12=""),"",IF(F12=E12,24,ROUND(MOD(TIMEVALUE(F12)-TIMEVALUE(E12),1)*24,2)))</f>
        <v>24</v>
      </c>
      <c r="H12" s="14" t="str">
        <f aca="false">IF(OR(E12="",F12=""),"",IF(TIMEVALUE(F12)&lt;=TIMEVALUE(E12),"yes",""))</f>
        <v>yes</v>
      </c>
      <c r="I12" s="16" t="s">
        <v>21</v>
      </c>
      <c r="J12" s="17" t="s">
        <v>22</v>
      </c>
      <c r="K12" s="14" t="s">
        <v>32</v>
      </c>
      <c r="L12" s="18" t="s">
        <v>39</v>
      </c>
    </row>
    <row r="13" customFormat="false" ht="23.85" hidden="false" customHeight="false" outlineLevel="0" collapsed="false">
      <c r="A13" s="7" t="s">
        <v>40</v>
      </c>
      <c r="B13" s="7" t="s">
        <v>41</v>
      </c>
      <c r="C13" s="7" t="s">
        <v>18</v>
      </c>
      <c r="D13" s="8" t="s">
        <v>18</v>
      </c>
      <c r="E13" s="9" t="s">
        <v>42</v>
      </c>
      <c r="F13" s="9" t="s">
        <v>20</v>
      </c>
      <c r="G13" s="8" t="n">
        <f aca="false">IF(OR(E13="",F13=""),"",IF(F13=E13,24,ROUND(MOD(TIMEVALUE(F13)-TIMEVALUE(E13),1)*24,2)))</f>
        <v>8</v>
      </c>
      <c r="H13" s="8" t="str">
        <f aca="false">IF(OR(E13="",F13=""),"",IF(TIMEVALUE(F13)&lt;=TIMEVALUE(E13),"yes",""))</f>
        <v>yes</v>
      </c>
      <c r="I13" s="10" t="s">
        <v>21</v>
      </c>
      <c r="J13" s="11" t="s">
        <v>22</v>
      </c>
      <c r="K13" s="8" t="s">
        <v>23</v>
      </c>
      <c r="L13" s="12" t="s">
        <v>43</v>
      </c>
    </row>
    <row r="14" customFormat="false" ht="15" hidden="false" customHeight="false" outlineLevel="0" collapsed="false">
      <c r="A14" s="13" t="s">
        <v>44</v>
      </c>
      <c r="B14" s="13" t="s">
        <v>45</v>
      </c>
      <c r="C14" s="13" t="s">
        <v>18</v>
      </c>
      <c r="D14" s="14" t="s">
        <v>18</v>
      </c>
      <c r="E14" s="15" t="s">
        <v>20</v>
      </c>
      <c r="F14" s="15" t="s">
        <v>19</v>
      </c>
      <c r="G14" s="14" t="n">
        <f aca="false">IF(OR(E14="",F14=""),"",IF(F14=E14,24,ROUND(MOD(TIMEVALUE(F14)-TIMEVALUE(E14),1)*24,2)))</f>
        <v>8</v>
      </c>
      <c r="H14" s="14" t="str">
        <f aca="false">IF(OR(E14="",F14=""),"",IF(TIMEVALUE(F14)&lt;=TIMEVALUE(E14),"yes",""))</f>
        <v/>
      </c>
      <c r="I14" s="16" t="s">
        <v>21</v>
      </c>
      <c r="J14" s="17" t="s">
        <v>22</v>
      </c>
      <c r="K14" s="14" t="s">
        <v>32</v>
      </c>
      <c r="L14" s="18" t="s">
        <v>46</v>
      </c>
    </row>
    <row r="15" customFormat="false" ht="15" hidden="false" customHeight="false" outlineLevel="0" collapsed="false">
      <c r="A15" s="13" t="s">
        <v>47</v>
      </c>
      <c r="B15" s="13" t="s">
        <v>48</v>
      </c>
      <c r="C15" s="13" t="s">
        <v>18</v>
      </c>
      <c r="D15" s="14" t="s">
        <v>18</v>
      </c>
      <c r="E15" s="15" t="s">
        <v>28</v>
      </c>
      <c r="F15" s="15" t="s">
        <v>20</v>
      </c>
      <c r="G15" s="14" t="n">
        <f aca="false">IF(OR(E15="",F15=""),"",IF(F15=E15,24,ROUND(MOD(TIMEVALUE(F15)-TIMEVALUE(E15),1)*24,2)))</f>
        <v>12</v>
      </c>
      <c r="H15" s="14" t="str">
        <f aca="false">IF(OR(E15="",F15=""),"",IF(TIMEVALUE(F15)&lt;=TIMEVALUE(E15),"yes",""))</f>
        <v>yes</v>
      </c>
      <c r="I15" s="16" t="s">
        <v>21</v>
      </c>
      <c r="J15" s="17" t="s">
        <v>22</v>
      </c>
      <c r="K15" s="14" t="s">
        <v>32</v>
      </c>
      <c r="L15" s="18" t="s">
        <v>49</v>
      </c>
    </row>
    <row r="16" customFormat="false" ht="23.85" hidden="false" customHeight="false" outlineLevel="0" collapsed="false">
      <c r="A16" s="7" t="s">
        <v>50</v>
      </c>
      <c r="B16" s="7" t="s">
        <v>51</v>
      </c>
      <c r="C16" s="7" t="s">
        <v>18</v>
      </c>
      <c r="D16" s="8" t="s">
        <v>18</v>
      </c>
      <c r="E16" s="9" t="s">
        <v>20</v>
      </c>
      <c r="F16" s="9" t="s">
        <v>20</v>
      </c>
      <c r="G16" s="8" t="n">
        <f aca="false">IF(OR(E16="",F16=""),"",IF(F16=E16,24,ROUND(MOD(TIMEVALUE(F16)-TIMEVALUE(E16),1)*24,2)))</f>
        <v>24</v>
      </c>
      <c r="H16" s="8" t="str">
        <f aca="false">IF(OR(E16="",F16=""),"",IF(TIMEVALUE(F16)&lt;=TIMEVALUE(E16),"yes",""))</f>
        <v>yes</v>
      </c>
      <c r="I16" s="10" t="s">
        <v>21</v>
      </c>
      <c r="J16" s="11" t="s">
        <v>22</v>
      </c>
      <c r="K16" s="8" t="s">
        <v>23</v>
      </c>
      <c r="L16" s="12" t="s">
        <v>52</v>
      </c>
    </row>
    <row r="17" customFormat="false" ht="15" hidden="false" customHeight="false" outlineLevel="0" collapsed="false">
      <c r="A17" s="7" t="s">
        <v>53</v>
      </c>
      <c r="B17" s="7" t="s">
        <v>53</v>
      </c>
      <c r="C17" s="7" t="s">
        <v>54</v>
      </c>
      <c r="D17" s="8" t="s">
        <v>55</v>
      </c>
      <c r="E17" s="9" t="s">
        <v>20</v>
      </c>
      <c r="F17" s="9" t="s">
        <v>28</v>
      </c>
      <c r="G17" s="8" t="n">
        <f aca="false">IF(OR(E17="",F17=""),"",IF(F17=E17,24,ROUND(MOD(TIMEVALUE(F17)-TIMEVALUE(E17),1)*24,2)))</f>
        <v>12</v>
      </c>
      <c r="H17" s="8" t="str">
        <f aca="false">IF(OR(E17="",F17=""),"",IF(TIMEVALUE(F17)&lt;=TIMEVALUE(E17),"yes",""))</f>
        <v/>
      </c>
      <c r="I17" s="10" t="s">
        <v>21</v>
      </c>
      <c r="J17" s="11" t="s">
        <v>22</v>
      </c>
      <c r="K17" s="8" t="s">
        <v>23</v>
      </c>
      <c r="L17" s="12" t="s">
        <v>56</v>
      </c>
    </row>
    <row r="18" customFormat="false" ht="15" hidden="false" customHeight="false" outlineLevel="0" collapsed="false">
      <c r="A18" s="7" t="s">
        <v>57</v>
      </c>
      <c r="B18" s="7" t="s">
        <v>57</v>
      </c>
      <c r="C18" s="7" t="s">
        <v>54</v>
      </c>
      <c r="D18" s="8" t="s">
        <v>55</v>
      </c>
      <c r="E18" s="9" t="s">
        <v>20</v>
      </c>
      <c r="F18" s="9" t="s">
        <v>19</v>
      </c>
      <c r="G18" s="8" t="n">
        <f aca="false">IF(OR(E18="",F18=""),"",IF(F18=E18,24,ROUND(MOD(TIMEVALUE(F18)-TIMEVALUE(E18),1)*24,2)))</f>
        <v>8</v>
      </c>
      <c r="H18" s="8" t="str">
        <f aca="false">IF(OR(E18="",F18=""),"",IF(TIMEVALUE(F18)&lt;=TIMEVALUE(E18),"yes",""))</f>
        <v/>
      </c>
      <c r="I18" s="10" t="s">
        <v>21</v>
      </c>
      <c r="J18" s="11" t="s">
        <v>22</v>
      </c>
      <c r="K18" s="8" t="s">
        <v>23</v>
      </c>
      <c r="L18" s="12" t="s">
        <v>58</v>
      </c>
    </row>
    <row r="19" customFormat="false" ht="15" hidden="false" customHeight="false" outlineLevel="0" collapsed="false">
      <c r="A19" s="7" t="s">
        <v>59</v>
      </c>
      <c r="B19" s="7" t="s">
        <v>59</v>
      </c>
      <c r="C19" s="7" t="s">
        <v>54</v>
      </c>
      <c r="D19" s="8" t="s">
        <v>55</v>
      </c>
      <c r="E19" s="9" t="s">
        <v>20</v>
      </c>
      <c r="F19" s="9" t="s">
        <v>19</v>
      </c>
      <c r="G19" s="8" t="n">
        <f aca="false">IF(OR(E19="",F19=""),"",IF(F19=E19,24,ROUND(MOD(TIMEVALUE(F19)-TIMEVALUE(E19),1)*24,2)))</f>
        <v>8</v>
      </c>
      <c r="H19" s="8" t="str">
        <f aca="false">IF(OR(E19="",F19=""),"",IF(TIMEVALUE(F19)&lt;=TIMEVALUE(E19),"yes",""))</f>
        <v/>
      </c>
      <c r="I19" s="10" t="s">
        <v>21</v>
      </c>
      <c r="J19" s="11" t="s">
        <v>22</v>
      </c>
      <c r="K19" s="8" t="s">
        <v>23</v>
      </c>
      <c r="L19" s="12" t="s">
        <v>58</v>
      </c>
    </row>
    <row r="20" customFormat="false" ht="15" hidden="false" customHeight="false" outlineLevel="0" collapsed="false">
      <c r="A20" s="13" t="s">
        <v>60</v>
      </c>
      <c r="B20" s="13" t="s">
        <v>61</v>
      </c>
      <c r="C20" s="13" t="s">
        <v>62</v>
      </c>
      <c r="D20" s="14" t="s">
        <v>55</v>
      </c>
      <c r="E20" s="15" t="s">
        <v>20</v>
      </c>
      <c r="F20" s="15" t="s">
        <v>28</v>
      </c>
      <c r="G20" s="14" t="n">
        <f aca="false">IF(OR(E20="",F20=""),"",IF(F20=E20,24,ROUND(MOD(TIMEVALUE(F20)-TIMEVALUE(E20),1)*24,2)))</f>
        <v>12</v>
      </c>
      <c r="H20" s="14" t="str">
        <f aca="false">IF(OR(E20="",F20=""),"",IF(TIMEVALUE(F20)&lt;=TIMEVALUE(E20),"yes",""))</f>
        <v/>
      </c>
      <c r="I20" s="16" t="s">
        <v>21</v>
      </c>
      <c r="J20" s="17" t="s">
        <v>22</v>
      </c>
      <c r="K20" s="14" t="s">
        <v>32</v>
      </c>
      <c r="L20" s="18" t="s">
        <v>63</v>
      </c>
    </row>
    <row r="21" customFormat="false" ht="15" hidden="false" customHeight="false" outlineLevel="0" collapsed="false">
      <c r="A21" s="13" t="s">
        <v>64</v>
      </c>
      <c r="B21" s="13" t="s">
        <v>65</v>
      </c>
      <c r="C21" s="13" t="s">
        <v>62</v>
      </c>
      <c r="D21" s="14" t="s">
        <v>55</v>
      </c>
      <c r="E21" s="15" t="s">
        <v>20</v>
      </c>
      <c r="F21" s="15" t="s">
        <v>28</v>
      </c>
      <c r="G21" s="14" t="n">
        <f aca="false">IF(OR(E21="",F21=""),"",IF(F21=E21,24,ROUND(MOD(TIMEVALUE(F21)-TIMEVALUE(E21),1)*24,2)))</f>
        <v>12</v>
      </c>
      <c r="H21" s="14" t="str">
        <f aca="false">IF(OR(E21="",F21=""),"",IF(TIMEVALUE(F21)&lt;=TIMEVALUE(E21),"yes",""))</f>
        <v/>
      </c>
      <c r="I21" s="16" t="s">
        <v>21</v>
      </c>
      <c r="J21" s="17" t="s">
        <v>22</v>
      </c>
      <c r="K21" s="14" t="s">
        <v>32</v>
      </c>
      <c r="L21" s="18" t="s">
        <v>63</v>
      </c>
    </row>
    <row r="22" customFormat="false" ht="15" hidden="false" customHeight="false" outlineLevel="0" collapsed="false">
      <c r="A22" s="7" t="s">
        <v>66</v>
      </c>
      <c r="B22" s="7" t="s">
        <v>67</v>
      </c>
      <c r="C22" s="7" t="s">
        <v>62</v>
      </c>
      <c r="D22" s="8" t="s">
        <v>55</v>
      </c>
      <c r="E22" s="9" t="s">
        <v>20</v>
      </c>
      <c r="F22" s="9" t="s">
        <v>28</v>
      </c>
      <c r="G22" s="8" t="n">
        <f aca="false">IF(OR(E22="",F22=""),"",IF(F22=E22,24,ROUND(MOD(TIMEVALUE(F22)-TIMEVALUE(E22),1)*24,2)))</f>
        <v>12</v>
      </c>
      <c r="H22" s="8" t="str">
        <f aca="false">IF(OR(E22="",F22=""),"",IF(TIMEVALUE(F22)&lt;=TIMEVALUE(E22),"yes",""))</f>
        <v/>
      </c>
      <c r="I22" s="10" t="s">
        <v>21</v>
      </c>
      <c r="J22" s="11" t="s">
        <v>22</v>
      </c>
      <c r="K22" s="8" t="s">
        <v>23</v>
      </c>
      <c r="L22" s="12" t="s">
        <v>68</v>
      </c>
    </row>
    <row r="23" customFormat="false" ht="15" hidden="false" customHeight="false" outlineLevel="0" collapsed="false">
      <c r="A23" s="7" t="s">
        <v>69</v>
      </c>
      <c r="B23" s="7" t="s">
        <v>70</v>
      </c>
      <c r="C23" s="7" t="s">
        <v>62</v>
      </c>
      <c r="D23" s="8" t="s">
        <v>55</v>
      </c>
      <c r="E23" s="9" t="s">
        <v>20</v>
      </c>
      <c r="F23" s="9" t="s">
        <v>28</v>
      </c>
      <c r="G23" s="8" t="n">
        <f aca="false">IF(OR(E23="",F23=""),"",IF(F23=E23,24,ROUND(MOD(TIMEVALUE(F23)-TIMEVALUE(E23),1)*24,2)))</f>
        <v>12</v>
      </c>
      <c r="H23" s="8" t="str">
        <f aca="false">IF(OR(E23="",F23=""),"",IF(TIMEVALUE(F23)&lt;=TIMEVALUE(E23),"yes",""))</f>
        <v/>
      </c>
      <c r="I23" s="10" t="s">
        <v>21</v>
      </c>
      <c r="J23" s="11" t="s">
        <v>22</v>
      </c>
      <c r="K23" s="8" t="s">
        <v>23</v>
      </c>
      <c r="L23" s="12" t="s">
        <v>68</v>
      </c>
    </row>
    <row r="24" customFormat="false" ht="15" hidden="false" customHeight="false" outlineLevel="0" collapsed="false">
      <c r="A24" s="7" t="s">
        <v>71</v>
      </c>
      <c r="B24" s="7" t="s">
        <v>72</v>
      </c>
      <c r="C24" s="7" t="s">
        <v>62</v>
      </c>
      <c r="D24" s="8" t="s">
        <v>55</v>
      </c>
      <c r="E24" s="9" t="s">
        <v>73</v>
      </c>
      <c r="F24" s="9" t="s">
        <v>28</v>
      </c>
      <c r="G24" s="8" t="n">
        <f aca="false">IF(OR(E24="",F24=""),"",IF(F24=E24,24,ROUND(MOD(TIMEVALUE(F24)-TIMEVALUE(E24),1)*24,2)))</f>
        <v>8</v>
      </c>
      <c r="H24" s="8" t="str">
        <f aca="false">IF(OR(E24="",F24=""),"",IF(TIMEVALUE(F24)&lt;=TIMEVALUE(E24),"yes",""))</f>
        <v/>
      </c>
      <c r="I24" s="10" t="s">
        <v>21</v>
      </c>
      <c r="J24" s="11" t="s">
        <v>22</v>
      </c>
      <c r="K24" s="8" t="s">
        <v>23</v>
      </c>
      <c r="L24" s="12" t="s">
        <v>74</v>
      </c>
    </row>
    <row r="25" customFormat="false" ht="15" hidden="false" customHeight="false" outlineLevel="0" collapsed="false">
      <c r="A25" s="7" t="s">
        <v>75</v>
      </c>
      <c r="B25" s="7" t="s">
        <v>75</v>
      </c>
      <c r="C25" s="7" t="s">
        <v>62</v>
      </c>
      <c r="D25" s="8" t="s">
        <v>55</v>
      </c>
      <c r="E25" s="9" t="s">
        <v>20</v>
      </c>
      <c r="F25" s="9" t="s">
        <v>28</v>
      </c>
      <c r="G25" s="8" t="n">
        <f aca="false">IF(OR(E25="",F25=""),"",IF(F25=E25,24,ROUND(MOD(TIMEVALUE(F25)-TIMEVALUE(E25),1)*24,2)))</f>
        <v>12</v>
      </c>
      <c r="H25" s="8" t="str">
        <f aca="false">IF(OR(E25="",F25=""),"",IF(TIMEVALUE(F25)&lt;=TIMEVALUE(E25),"yes",""))</f>
        <v/>
      </c>
      <c r="I25" s="10" t="s">
        <v>21</v>
      </c>
      <c r="J25" s="11" t="s">
        <v>22</v>
      </c>
      <c r="K25" s="8" t="s">
        <v>23</v>
      </c>
      <c r="L25" s="12" t="s">
        <v>68</v>
      </c>
    </row>
    <row r="26" customFormat="false" ht="15" hidden="false" customHeight="false" outlineLevel="0" collapsed="false">
      <c r="A26" s="7" t="s">
        <v>76</v>
      </c>
      <c r="B26" s="7" t="s">
        <v>77</v>
      </c>
      <c r="C26" s="7" t="s">
        <v>78</v>
      </c>
      <c r="D26" s="8" t="s">
        <v>55</v>
      </c>
      <c r="E26" s="9" t="s">
        <v>79</v>
      </c>
      <c r="F26" s="9" t="s">
        <v>28</v>
      </c>
      <c r="G26" s="8" t="n">
        <f aca="false">IF(OR(E26="",F26=""),"",IF(F26=E26,24,ROUND(MOD(TIMEVALUE(F26)-TIMEVALUE(E26),1)*24,2)))</f>
        <v>8.5</v>
      </c>
      <c r="H26" s="8" t="str">
        <f aca="false">IF(OR(E26="",F26=""),"",IF(TIMEVALUE(F26)&lt;=TIMEVALUE(E26),"yes",""))</f>
        <v/>
      </c>
      <c r="I26" s="10" t="s">
        <v>21</v>
      </c>
      <c r="J26" s="11" t="s">
        <v>22</v>
      </c>
      <c r="K26" s="8" t="s">
        <v>23</v>
      </c>
      <c r="L26" s="12" t="s">
        <v>80</v>
      </c>
    </row>
    <row r="27" customFormat="false" ht="15" hidden="false" customHeight="false" outlineLevel="0" collapsed="false">
      <c r="A27" s="13" t="s">
        <v>81</v>
      </c>
      <c r="B27" s="13" t="s">
        <v>82</v>
      </c>
      <c r="C27" s="13" t="s">
        <v>78</v>
      </c>
      <c r="D27" s="14" t="s">
        <v>55</v>
      </c>
      <c r="E27" s="15" t="s">
        <v>19</v>
      </c>
      <c r="F27" s="15" t="s">
        <v>28</v>
      </c>
      <c r="G27" s="14" t="n">
        <f aca="false">IF(OR(E27="",F27=""),"",IF(F27=E27,24,ROUND(MOD(TIMEVALUE(F27)-TIMEVALUE(E27),1)*24,2)))</f>
        <v>4</v>
      </c>
      <c r="H27" s="14" t="str">
        <f aca="false">IF(OR(E27="",F27=""),"",IF(TIMEVALUE(F27)&lt;=TIMEVALUE(E27),"yes",""))</f>
        <v/>
      </c>
      <c r="I27" s="16" t="s">
        <v>21</v>
      </c>
      <c r="J27" s="17" t="s">
        <v>22</v>
      </c>
      <c r="K27" s="14" t="s">
        <v>32</v>
      </c>
      <c r="L27" s="18" t="s">
        <v>83</v>
      </c>
    </row>
    <row r="28" customFormat="false" ht="15" hidden="false" customHeight="false" outlineLevel="0" collapsed="false">
      <c r="A28" s="13" t="s">
        <v>84</v>
      </c>
      <c r="B28" s="13" t="s">
        <v>85</v>
      </c>
      <c r="C28" s="13" t="s">
        <v>78</v>
      </c>
      <c r="D28" s="14" t="s">
        <v>55</v>
      </c>
      <c r="E28" s="15" t="s">
        <v>86</v>
      </c>
      <c r="F28" s="15" t="s">
        <v>28</v>
      </c>
      <c r="G28" s="14" t="n">
        <f aca="false">IF(OR(E28="",F28=""),"",IF(F28=E28,24,ROUND(MOD(TIMEVALUE(F28)-TIMEVALUE(E28),1)*24,2)))</f>
        <v>2</v>
      </c>
      <c r="H28" s="14" t="str">
        <f aca="false">IF(OR(E28="",F28=""),"",IF(TIMEVALUE(F28)&lt;=TIMEVALUE(E28),"yes",""))</f>
        <v/>
      </c>
      <c r="I28" s="16" t="s">
        <v>21</v>
      </c>
      <c r="J28" s="17" t="s">
        <v>22</v>
      </c>
      <c r="K28" s="14" t="s">
        <v>32</v>
      </c>
      <c r="L28" s="18" t="s">
        <v>87</v>
      </c>
    </row>
    <row r="29" customFormat="false" ht="15" hidden="false" customHeight="false" outlineLevel="0" collapsed="false">
      <c r="A29" s="7" t="s">
        <v>88</v>
      </c>
      <c r="B29" s="7" t="s">
        <v>88</v>
      </c>
      <c r="C29" s="7" t="s">
        <v>78</v>
      </c>
      <c r="D29" s="8" t="s">
        <v>55</v>
      </c>
      <c r="E29" s="9" t="s">
        <v>20</v>
      </c>
      <c r="F29" s="9" t="s">
        <v>19</v>
      </c>
      <c r="G29" s="8" t="n">
        <f aca="false">IF(OR(E29="",F29=""),"",IF(F29=E29,24,ROUND(MOD(TIMEVALUE(F29)-TIMEVALUE(E29),1)*24,2)))</f>
        <v>8</v>
      </c>
      <c r="H29" s="8" t="str">
        <f aca="false">IF(OR(E29="",F29=""),"",IF(TIMEVALUE(F29)&lt;=TIMEVALUE(E29),"yes",""))</f>
        <v/>
      </c>
      <c r="I29" s="10" t="s">
        <v>21</v>
      </c>
      <c r="J29" s="11" t="s">
        <v>22</v>
      </c>
      <c r="K29" s="8" t="s">
        <v>23</v>
      </c>
      <c r="L29" s="12" t="s">
        <v>89</v>
      </c>
    </row>
    <row r="30" customFormat="false" ht="15" hidden="false" customHeight="false" outlineLevel="0" collapsed="false">
      <c r="A30" s="13" t="s">
        <v>90</v>
      </c>
      <c r="B30" s="13" t="s">
        <v>91</v>
      </c>
      <c r="C30" s="13" t="s">
        <v>78</v>
      </c>
      <c r="D30" s="14" t="s">
        <v>55</v>
      </c>
      <c r="E30" s="15" t="s">
        <v>92</v>
      </c>
      <c r="F30" s="15" t="s">
        <v>86</v>
      </c>
      <c r="G30" s="14" t="n">
        <f aca="false">IF(OR(E30="",F30=""),"",IF(F30=E30,24,ROUND(MOD(TIMEVALUE(F30)-TIMEVALUE(E30),1)*24,2)))</f>
        <v>4</v>
      </c>
      <c r="H30" s="14" t="str">
        <f aca="false">IF(OR(E30="",F30=""),"",IF(TIMEVALUE(F30)&lt;=TIMEVALUE(E30),"yes",""))</f>
        <v/>
      </c>
      <c r="I30" s="16" t="s">
        <v>21</v>
      </c>
      <c r="J30" s="17" t="s">
        <v>22</v>
      </c>
      <c r="K30" s="14" t="s">
        <v>32</v>
      </c>
      <c r="L30" s="18" t="s">
        <v>93</v>
      </c>
    </row>
    <row r="31" customFormat="false" ht="15" hidden="false" customHeight="false" outlineLevel="0" collapsed="false">
      <c r="A31" s="13" t="s">
        <v>94</v>
      </c>
      <c r="B31" s="13" t="s">
        <v>94</v>
      </c>
      <c r="C31" s="13" t="s">
        <v>78</v>
      </c>
      <c r="D31" s="14" t="s">
        <v>55</v>
      </c>
      <c r="E31" s="15" t="s">
        <v>20</v>
      </c>
      <c r="F31" s="15" t="s">
        <v>19</v>
      </c>
      <c r="G31" s="14" t="n">
        <f aca="false">IF(OR(E31="",F31=""),"",IF(F31=E31,24,ROUND(MOD(TIMEVALUE(F31)-TIMEVALUE(E31),1)*24,2)))</f>
        <v>8</v>
      </c>
      <c r="H31" s="14" t="str">
        <f aca="false">IF(OR(E31="",F31=""),"",IF(TIMEVALUE(F31)&lt;=TIMEVALUE(E31),"yes",""))</f>
        <v/>
      </c>
      <c r="I31" s="16" t="s">
        <v>21</v>
      </c>
      <c r="J31" s="17" t="s">
        <v>22</v>
      </c>
      <c r="K31" s="14" t="s">
        <v>32</v>
      </c>
      <c r="L31" s="18" t="s">
        <v>95</v>
      </c>
    </row>
    <row r="32" customFormat="false" ht="15" hidden="false" customHeight="false" outlineLevel="0" collapsed="false">
      <c r="A32" s="13" t="s">
        <v>96</v>
      </c>
      <c r="B32" s="13" t="s">
        <v>97</v>
      </c>
      <c r="C32" s="13" t="s">
        <v>78</v>
      </c>
      <c r="D32" s="14" t="s">
        <v>55</v>
      </c>
      <c r="E32" s="15" t="s">
        <v>20</v>
      </c>
      <c r="F32" s="15" t="s">
        <v>73</v>
      </c>
      <c r="G32" s="14" t="n">
        <f aca="false">IF(OR(E32="",F32=""),"",IF(F32=E32,24,ROUND(MOD(TIMEVALUE(F32)-TIMEVALUE(E32),1)*24,2)))</f>
        <v>4</v>
      </c>
      <c r="H32" s="14" t="str">
        <f aca="false">IF(OR(E32="",F32=""),"",IF(TIMEVALUE(F32)&lt;=TIMEVALUE(E32),"yes",""))</f>
        <v/>
      </c>
      <c r="I32" s="16" t="s">
        <v>21</v>
      </c>
      <c r="J32" s="17" t="s">
        <v>22</v>
      </c>
      <c r="K32" s="14" t="s">
        <v>32</v>
      </c>
      <c r="L32" s="18" t="s">
        <v>98</v>
      </c>
    </row>
    <row r="33" customFormat="false" ht="15" hidden="false" customHeight="false" outlineLevel="0" collapsed="false">
      <c r="A33" s="13" t="s">
        <v>99</v>
      </c>
      <c r="B33" s="13" t="s">
        <v>100</v>
      </c>
      <c r="C33" s="13" t="s">
        <v>78</v>
      </c>
      <c r="D33" s="14" t="s">
        <v>55</v>
      </c>
      <c r="E33" s="15" t="s">
        <v>73</v>
      </c>
      <c r="F33" s="15" t="s">
        <v>19</v>
      </c>
      <c r="G33" s="14" t="n">
        <f aca="false">IF(OR(E33="",F33=""),"",IF(F33=E33,24,ROUND(MOD(TIMEVALUE(F33)-TIMEVALUE(E33),1)*24,2)))</f>
        <v>4</v>
      </c>
      <c r="H33" s="14" t="str">
        <f aca="false">IF(OR(E33="",F33=""),"",IF(TIMEVALUE(F33)&lt;=TIMEVALUE(E33),"yes",""))</f>
        <v/>
      </c>
      <c r="I33" s="16" t="s">
        <v>21</v>
      </c>
      <c r="J33" s="17" t="s">
        <v>22</v>
      </c>
      <c r="K33" s="14" t="s">
        <v>32</v>
      </c>
      <c r="L33" s="18" t="s">
        <v>101</v>
      </c>
    </row>
    <row r="34" customFormat="false" ht="15" hidden="false" customHeight="false" outlineLevel="0" collapsed="false">
      <c r="A34" s="13" t="s">
        <v>102</v>
      </c>
      <c r="B34" s="13" t="s">
        <v>103</v>
      </c>
      <c r="C34" s="13" t="s">
        <v>78</v>
      </c>
      <c r="D34" s="14" t="s">
        <v>55</v>
      </c>
      <c r="E34" s="15" t="s">
        <v>20</v>
      </c>
      <c r="F34" s="15" t="s">
        <v>19</v>
      </c>
      <c r="G34" s="14" t="n">
        <f aca="false">IF(OR(E34="",F34=""),"",IF(F34=E34,24,ROUND(MOD(TIMEVALUE(F34)-TIMEVALUE(E34),1)*24,2)))</f>
        <v>8</v>
      </c>
      <c r="H34" s="14" t="str">
        <f aca="false">IF(OR(E34="",F34=""),"",IF(TIMEVALUE(F34)&lt;=TIMEVALUE(E34),"yes",""))</f>
        <v/>
      </c>
      <c r="I34" s="16" t="s">
        <v>21</v>
      </c>
      <c r="J34" s="17" t="s">
        <v>22</v>
      </c>
      <c r="K34" s="14" t="s">
        <v>32</v>
      </c>
      <c r="L34" s="18" t="s">
        <v>95</v>
      </c>
    </row>
    <row r="35" customFormat="false" ht="15" hidden="false" customHeight="false" outlineLevel="0" collapsed="false">
      <c r="A35" s="13" t="s">
        <v>104</v>
      </c>
      <c r="B35" s="13" t="s">
        <v>104</v>
      </c>
      <c r="C35" s="13" t="s">
        <v>78</v>
      </c>
      <c r="D35" s="14" t="s">
        <v>55</v>
      </c>
      <c r="E35" s="15" t="s">
        <v>20</v>
      </c>
      <c r="F35" s="15" t="s">
        <v>86</v>
      </c>
      <c r="G35" s="14" t="n">
        <f aca="false">IF(OR(E35="",F35=""),"",IF(F35=E35,24,ROUND(MOD(TIMEVALUE(F35)-TIMEVALUE(E35),1)*24,2)))</f>
        <v>10</v>
      </c>
      <c r="H35" s="14" t="str">
        <f aca="false">IF(OR(E35="",F35=""),"",IF(TIMEVALUE(F35)&lt;=TIMEVALUE(E35),"yes",""))</f>
        <v/>
      </c>
      <c r="I35" s="16" t="s">
        <v>21</v>
      </c>
      <c r="J35" s="17" t="s">
        <v>22</v>
      </c>
      <c r="K35" s="14" t="s">
        <v>32</v>
      </c>
      <c r="L35" s="18" t="s">
        <v>105</v>
      </c>
    </row>
    <row r="36" customFormat="false" ht="15" hidden="false" customHeight="false" outlineLevel="0" collapsed="false">
      <c r="A36" s="7" t="s">
        <v>106</v>
      </c>
      <c r="B36" s="7" t="s">
        <v>107</v>
      </c>
      <c r="C36" s="7" t="s">
        <v>78</v>
      </c>
      <c r="D36" s="8" t="s">
        <v>55</v>
      </c>
      <c r="E36" s="9" t="s">
        <v>20</v>
      </c>
      <c r="F36" s="9" t="s">
        <v>86</v>
      </c>
      <c r="G36" s="8" t="n">
        <f aca="false">IF(OR(E36="",F36=""),"",IF(F36=E36,24,ROUND(MOD(TIMEVALUE(F36)-TIMEVALUE(E36),1)*24,2)))</f>
        <v>10</v>
      </c>
      <c r="H36" s="8" t="str">
        <f aca="false">IF(OR(E36="",F36=""),"",IF(TIMEVALUE(F36)&lt;=TIMEVALUE(E36),"yes",""))</f>
        <v/>
      </c>
      <c r="I36" s="10" t="s">
        <v>21</v>
      </c>
      <c r="J36" s="11" t="s">
        <v>22</v>
      </c>
      <c r="K36" s="8" t="s">
        <v>23</v>
      </c>
      <c r="L36" s="12" t="s">
        <v>108</v>
      </c>
    </row>
    <row r="37" customFormat="false" ht="15" hidden="false" customHeight="false" outlineLevel="0" collapsed="false">
      <c r="A37" s="7" t="s">
        <v>109</v>
      </c>
      <c r="B37" s="7" t="s">
        <v>110</v>
      </c>
      <c r="C37" s="7" t="s">
        <v>78</v>
      </c>
      <c r="D37" s="8" t="s">
        <v>55</v>
      </c>
      <c r="E37" s="9" t="s">
        <v>20</v>
      </c>
      <c r="F37" s="9" t="s">
        <v>86</v>
      </c>
      <c r="G37" s="8" t="n">
        <f aca="false">IF(OR(E37="",F37=""),"",IF(F37=E37,24,ROUND(MOD(TIMEVALUE(F37)-TIMEVALUE(E37),1)*24,2)))</f>
        <v>10</v>
      </c>
      <c r="H37" s="8" t="str">
        <f aca="false">IF(OR(E37="",F37=""),"",IF(TIMEVALUE(F37)&lt;=TIMEVALUE(E37),"yes",""))</f>
        <v/>
      </c>
      <c r="I37" s="10" t="s">
        <v>21</v>
      </c>
      <c r="J37" s="11" t="s">
        <v>22</v>
      </c>
      <c r="K37" s="8" t="s">
        <v>23</v>
      </c>
      <c r="L37" s="12" t="s">
        <v>108</v>
      </c>
    </row>
    <row r="38" customFormat="false" ht="15" hidden="false" customHeight="false" outlineLevel="0" collapsed="false">
      <c r="A38" s="7" t="s">
        <v>111</v>
      </c>
      <c r="B38" s="7" t="s">
        <v>112</v>
      </c>
      <c r="C38" s="7" t="s">
        <v>78</v>
      </c>
      <c r="D38" s="8" t="s">
        <v>55</v>
      </c>
      <c r="E38" s="9" t="s">
        <v>20</v>
      </c>
      <c r="F38" s="9" t="s">
        <v>86</v>
      </c>
      <c r="G38" s="8" t="n">
        <f aca="false">IF(OR(E38="",F38=""),"",IF(F38=E38,24,ROUND(MOD(TIMEVALUE(F38)-TIMEVALUE(E38),1)*24,2)))</f>
        <v>10</v>
      </c>
      <c r="H38" s="8" t="str">
        <f aca="false">IF(OR(E38="",F38=""),"",IF(TIMEVALUE(F38)&lt;=TIMEVALUE(E38),"yes",""))</f>
        <v/>
      </c>
      <c r="I38" s="10" t="s">
        <v>21</v>
      </c>
      <c r="J38" s="11" t="s">
        <v>22</v>
      </c>
      <c r="K38" s="8" t="s">
        <v>23</v>
      </c>
      <c r="L38" s="12" t="s">
        <v>108</v>
      </c>
    </row>
    <row r="39" customFormat="false" ht="15" hidden="false" customHeight="false" outlineLevel="0" collapsed="false">
      <c r="A39" s="13" t="s">
        <v>113</v>
      </c>
      <c r="B39" s="13" t="s">
        <v>113</v>
      </c>
      <c r="C39" s="13" t="s">
        <v>78</v>
      </c>
      <c r="D39" s="14" t="s">
        <v>55</v>
      </c>
      <c r="E39" s="15" t="s">
        <v>20</v>
      </c>
      <c r="F39" s="15" t="s">
        <v>92</v>
      </c>
      <c r="G39" s="14" t="n">
        <f aca="false">IF(OR(E39="",F39=""),"",IF(F39=E39,24,ROUND(MOD(TIMEVALUE(F39)-TIMEVALUE(E39),1)*24,2)))</f>
        <v>6</v>
      </c>
      <c r="H39" s="14" t="str">
        <f aca="false">IF(OR(E39="",F39=""),"",IF(TIMEVALUE(F39)&lt;=TIMEVALUE(E39),"yes",""))</f>
        <v/>
      </c>
      <c r="I39" s="16" t="s">
        <v>21</v>
      </c>
      <c r="J39" s="17" t="s">
        <v>22</v>
      </c>
      <c r="K39" s="14" t="s">
        <v>32</v>
      </c>
      <c r="L39" s="18" t="s">
        <v>114</v>
      </c>
    </row>
    <row r="40" customFormat="false" ht="23.85" hidden="false" customHeight="false" outlineLevel="0" collapsed="false">
      <c r="A40" s="13" t="s">
        <v>115</v>
      </c>
      <c r="B40" s="13" t="s">
        <v>115</v>
      </c>
      <c r="C40" s="13" t="s">
        <v>78</v>
      </c>
      <c r="D40" s="14" t="s">
        <v>55</v>
      </c>
      <c r="E40" s="15" t="s">
        <v>19</v>
      </c>
      <c r="F40" s="15" t="s">
        <v>42</v>
      </c>
      <c r="G40" s="14" t="n">
        <f aca="false">IF(OR(E40="",F40=""),"",IF(F40=E40,24,ROUND(MOD(TIMEVALUE(F40)-TIMEVALUE(E40),1)*24,2)))</f>
        <v>8</v>
      </c>
      <c r="H40" s="14" t="str">
        <f aca="false">IF(OR(E40="",F40=""),"",IF(TIMEVALUE(F40)&lt;=TIMEVALUE(E40),"yes",""))</f>
        <v/>
      </c>
      <c r="I40" s="16" t="s">
        <v>21</v>
      </c>
      <c r="J40" s="17" t="s">
        <v>22</v>
      </c>
      <c r="K40" s="14" t="s">
        <v>32</v>
      </c>
      <c r="L40" s="18" t="s">
        <v>116</v>
      </c>
    </row>
    <row r="41" customFormat="false" ht="15" hidden="false" customHeight="false" outlineLevel="0" collapsed="false">
      <c r="A41" s="13" t="s">
        <v>117</v>
      </c>
      <c r="B41" s="13" t="s">
        <v>118</v>
      </c>
      <c r="C41" s="13" t="s">
        <v>78</v>
      </c>
      <c r="D41" s="14" t="s">
        <v>55</v>
      </c>
      <c r="E41" s="15" t="s">
        <v>20</v>
      </c>
      <c r="F41" s="15" t="s">
        <v>19</v>
      </c>
      <c r="G41" s="14" t="n">
        <f aca="false">IF(OR(E41="",F41=""),"",IF(F41=E41,24,ROUND(MOD(TIMEVALUE(F41)-TIMEVALUE(E41),1)*24,2)))</f>
        <v>8</v>
      </c>
      <c r="H41" s="14" t="str">
        <f aca="false">IF(OR(E41="",F41=""),"",IF(TIMEVALUE(F41)&lt;=TIMEVALUE(E41),"yes",""))</f>
        <v/>
      </c>
      <c r="I41" s="16" t="s">
        <v>21</v>
      </c>
      <c r="J41" s="17" t="s">
        <v>22</v>
      </c>
      <c r="K41" s="14" t="s">
        <v>32</v>
      </c>
      <c r="L41" s="18" t="s">
        <v>95</v>
      </c>
    </row>
    <row r="42" customFormat="false" ht="15" hidden="false" customHeight="false" outlineLevel="0" collapsed="false">
      <c r="A42" s="13" t="s">
        <v>119</v>
      </c>
      <c r="B42" s="13" t="s">
        <v>119</v>
      </c>
      <c r="C42" s="13" t="s">
        <v>78</v>
      </c>
      <c r="D42" s="14" t="s">
        <v>55</v>
      </c>
      <c r="E42" s="15" t="s">
        <v>20</v>
      </c>
      <c r="F42" s="15" t="s">
        <v>19</v>
      </c>
      <c r="G42" s="14" t="n">
        <f aca="false">IF(OR(E42="",F42=""),"",IF(F42=E42,24,ROUND(MOD(TIMEVALUE(F42)-TIMEVALUE(E42),1)*24,2)))</f>
        <v>8</v>
      </c>
      <c r="H42" s="14" t="str">
        <f aca="false">IF(OR(E42="",F42=""),"",IF(TIMEVALUE(F42)&lt;=TIMEVALUE(E42),"yes",""))</f>
        <v/>
      </c>
      <c r="I42" s="16" t="s">
        <v>21</v>
      </c>
      <c r="J42" s="17" t="s">
        <v>22</v>
      </c>
      <c r="K42" s="14" t="s">
        <v>32</v>
      </c>
      <c r="L42" s="18" t="s">
        <v>120</v>
      </c>
    </row>
    <row r="43" customFormat="false" ht="15" hidden="false" customHeight="false" outlineLevel="0" collapsed="false">
      <c r="A43" s="7" t="s">
        <v>121</v>
      </c>
      <c r="B43" s="7" t="s">
        <v>122</v>
      </c>
      <c r="C43" s="7" t="s">
        <v>78</v>
      </c>
      <c r="D43" s="8" t="s">
        <v>55</v>
      </c>
      <c r="E43" s="9" t="s">
        <v>20</v>
      </c>
      <c r="F43" s="9" t="s">
        <v>86</v>
      </c>
      <c r="G43" s="8" t="n">
        <f aca="false">IF(OR(E43="",F43=""),"",IF(F43=E43,24,ROUND(MOD(TIMEVALUE(F43)-TIMEVALUE(E43),1)*24,2)))</f>
        <v>10</v>
      </c>
      <c r="H43" s="8" t="str">
        <f aca="false">IF(OR(E43="",F43=""),"",IF(TIMEVALUE(F43)&lt;=TIMEVALUE(E43),"yes",""))</f>
        <v/>
      </c>
      <c r="I43" s="10" t="s">
        <v>21</v>
      </c>
      <c r="J43" s="11" t="s">
        <v>22</v>
      </c>
      <c r="K43" s="8" t="s">
        <v>23</v>
      </c>
      <c r="L43" s="12" t="s">
        <v>108</v>
      </c>
    </row>
    <row r="44" customFormat="false" ht="15" hidden="false" customHeight="false" outlineLevel="0" collapsed="false">
      <c r="A44" s="13" t="s">
        <v>123</v>
      </c>
      <c r="B44" s="13" t="s">
        <v>124</v>
      </c>
      <c r="C44" s="13" t="s">
        <v>78</v>
      </c>
      <c r="D44" s="14" t="s">
        <v>55</v>
      </c>
      <c r="E44" s="15" t="s">
        <v>20</v>
      </c>
      <c r="F44" s="15" t="s">
        <v>19</v>
      </c>
      <c r="G44" s="14" t="n">
        <f aca="false">IF(OR(E44="",F44=""),"",IF(F44=E44,24,ROUND(MOD(TIMEVALUE(F44)-TIMEVALUE(E44),1)*24,2)))</f>
        <v>8</v>
      </c>
      <c r="H44" s="14" t="str">
        <f aca="false">IF(OR(E44="",F44=""),"",IF(TIMEVALUE(F44)&lt;=TIMEVALUE(E44),"yes",""))</f>
        <v/>
      </c>
      <c r="I44" s="16" t="s">
        <v>21</v>
      </c>
      <c r="J44" s="17" t="s">
        <v>22</v>
      </c>
      <c r="K44" s="14" t="s">
        <v>32</v>
      </c>
      <c r="L44" s="18" t="s">
        <v>120</v>
      </c>
    </row>
    <row r="45" customFormat="false" ht="35.05" hidden="false" customHeight="false" outlineLevel="0" collapsed="false">
      <c r="A45" s="7" t="s">
        <v>125</v>
      </c>
      <c r="B45" s="7" t="s">
        <v>126</v>
      </c>
      <c r="C45" s="7" t="s">
        <v>78</v>
      </c>
      <c r="D45" s="8" t="s">
        <v>55</v>
      </c>
      <c r="E45" s="9" t="s">
        <v>20</v>
      </c>
      <c r="F45" s="9" t="s">
        <v>19</v>
      </c>
      <c r="G45" s="8" t="n">
        <f aca="false">IF(OR(E45="",F45=""),"",IF(F45=E45,24,ROUND(MOD(TIMEVALUE(F45)-TIMEVALUE(E45),1)*24,2)))</f>
        <v>8</v>
      </c>
      <c r="H45" s="8" t="str">
        <f aca="false">IF(OR(E45="",F45=""),"",IF(TIMEVALUE(F45)&lt;=TIMEVALUE(E45),"yes",""))</f>
        <v/>
      </c>
      <c r="I45" s="10" t="s">
        <v>21</v>
      </c>
      <c r="J45" s="11" t="s">
        <v>127</v>
      </c>
      <c r="K45" s="8" t="s">
        <v>23</v>
      </c>
      <c r="L45" s="12" t="s">
        <v>128</v>
      </c>
    </row>
    <row r="46" customFormat="false" ht="15" hidden="false" customHeight="false" outlineLevel="0" collapsed="false">
      <c r="A46" s="19" t="s">
        <v>129</v>
      </c>
      <c r="B46" s="19" t="s">
        <v>130</v>
      </c>
      <c r="C46" s="19" t="s">
        <v>131</v>
      </c>
      <c r="D46" s="20" t="s">
        <v>55</v>
      </c>
      <c r="E46" s="21" t="s">
        <v>20</v>
      </c>
      <c r="F46" s="21" t="s">
        <v>19</v>
      </c>
      <c r="G46" s="20" t="n">
        <f aca="false">IF(OR(E46="",F46=""),"",IF(F46=E46,24,ROUND(MOD(TIMEVALUE(F46)-TIMEVALUE(E46),1)*24,2)))</f>
        <v>8</v>
      </c>
      <c r="H46" s="20" t="str">
        <f aca="false">IF(OR(E46="",F46=""),"",IF(TIMEVALUE(F46)&lt;=TIMEVALUE(E46),"yes",""))</f>
        <v/>
      </c>
      <c r="I46" s="22" t="s">
        <v>21</v>
      </c>
      <c r="J46" s="23" t="s">
        <v>22</v>
      </c>
      <c r="K46" s="20" t="s">
        <v>23</v>
      </c>
      <c r="L46" s="24" t="s">
        <v>132</v>
      </c>
    </row>
    <row r="47" customFormat="false" ht="15" hidden="false" customHeight="false" outlineLevel="0" collapsed="false">
      <c r="A47" s="7" t="s">
        <v>133</v>
      </c>
      <c r="B47" s="7" t="s">
        <v>133</v>
      </c>
      <c r="C47" s="7" t="s">
        <v>131</v>
      </c>
      <c r="D47" s="8" t="s">
        <v>55</v>
      </c>
      <c r="E47" s="9" t="s">
        <v>20</v>
      </c>
      <c r="F47" s="9" t="s">
        <v>19</v>
      </c>
      <c r="G47" s="8" t="n">
        <f aca="false">IF(OR(E47="",F47=""),"",IF(F47=E47,24,ROUND(MOD(TIMEVALUE(F47)-TIMEVALUE(E47),1)*24,2)))</f>
        <v>8</v>
      </c>
      <c r="H47" s="8" t="str">
        <f aca="false">IF(OR(E47="",F47=""),"",IF(TIMEVALUE(F47)&lt;=TIMEVALUE(E47),"yes",""))</f>
        <v/>
      </c>
      <c r="I47" s="10" t="s">
        <v>21</v>
      </c>
      <c r="J47" s="11" t="s">
        <v>22</v>
      </c>
      <c r="K47" s="8" t="s">
        <v>23</v>
      </c>
      <c r="L47" s="12" t="s">
        <v>134</v>
      </c>
    </row>
    <row r="48" customFormat="false" ht="15" hidden="false" customHeight="false" outlineLevel="0" collapsed="false">
      <c r="A48" s="7" t="s">
        <v>135</v>
      </c>
      <c r="B48" s="7" t="s">
        <v>135</v>
      </c>
      <c r="C48" s="7" t="s">
        <v>131</v>
      </c>
      <c r="D48" s="8" t="s">
        <v>55</v>
      </c>
      <c r="E48" s="9" t="s">
        <v>20</v>
      </c>
      <c r="F48" s="9" t="s">
        <v>28</v>
      </c>
      <c r="G48" s="8" t="n">
        <f aca="false">IF(OR(E48="",F48=""),"",IF(F48=E48,24,ROUND(MOD(TIMEVALUE(F48)-TIMEVALUE(E48),1)*24,2)))</f>
        <v>12</v>
      </c>
      <c r="H48" s="8" t="str">
        <f aca="false">IF(OR(E48="",F48=""),"",IF(TIMEVALUE(F48)&lt;=TIMEVALUE(E48),"yes",""))</f>
        <v/>
      </c>
      <c r="I48" s="10" t="s">
        <v>21</v>
      </c>
      <c r="J48" s="11" t="s">
        <v>22</v>
      </c>
      <c r="K48" s="8" t="s">
        <v>23</v>
      </c>
      <c r="L48" s="12" t="s">
        <v>136</v>
      </c>
    </row>
    <row r="49" customFormat="false" ht="15" hidden="false" customHeight="false" outlineLevel="0" collapsed="false">
      <c r="A49" s="7" t="s">
        <v>137</v>
      </c>
      <c r="B49" s="7" t="s">
        <v>137</v>
      </c>
      <c r="C49" s="7" t="s">
        <v>131</v>
      </c>
      <c r="D49" s="8" t="s">
        <v>55</v>
      </c>
      <c r="E49" s="9" t="s">
        <v>20</v>
      </c>
      <c r="F49" s="9" t="s">
        <v>19</v>
      </c>
      <c r="G49" s="8" t="n">
        <f aca="false">IF(OR(E49="",F49=""),"",IF(F49=E49,24,ROUND(MOD(TIMEVALUE(F49)-TIMEVALUE(E49),1)*24,2)))</f>
        <v>8</v>
      </c>
      <c r="H49" s="8" t="str">
        <f aca="false">IF(OR(E49="",F49=""),"",IF(TIMEVALUE(F49)&lt;=TIMEVALUE(E49),"yes",""))</f>
        <v/>
      </c>
      <c r="I49" s="10" t="s">
        <v>21</v>
      </c>
      <c r="J49" s="11" t="s">
        <v>22</v>
      </c>
      <c r="K49" s="8" t="s">
        <v>23</v>
      </c>
      <c r="L49" s="12" t="s">
        <v>138</v>
      </c>
    </row>
    <row r="50" customFormat="false" ht="15" hidden="false" customHeight="false" outlineLevel="0" collapsed="false">
      <c r="A50" s="7" t="s">
        <v>139</v>
      </c>
      <c r="B50" s="7" t="s">
        <v>139</v>
      </c>
      <c r="C50" s="7" t="s">
        <v>131</v>
      </c>
      <c r="D50" s="8" t="s">
        <v>55</v>
      </c>
      <c r="E50" s="9" t="s">
        <v>20</v>
      </c>
      <c r="F50" s="9" t="s">
        <v>28</v>
      </c>
      <c r="G50" s="8" t="n">
        <f aca="false">IF(OR(E50="",F50=""),"",IF(F50=E50,24,ROUND(MOD(TIMEVALUE(F50)-TIMEVALUE(E50),1)*24,2)))</f>
        <v>12</v>
      </c>
      <c r="H50" s="8" t="str">
        <f aca="false">IF(OR(E50="",F50=""),"",IF(TIMEVALUE(F50)&lt;=TIMEVALUE(E50),"yes",""))</f>
        <v/>
      </c>
      <c r="I50" s="10" t="s">
        <v>21</v>
      </c>
      <c r="J50" s="11" t="s">
        <v>22</v>
      </c>
      <c r="K50" s="8" t="s">
        <v>23</v>
      </c>
      <c r="L50" s="12" t="s">
        <v>136</v>
      </c>
    </row>
    <row r="51" customFormat="false" ht="15" hidden="false" customHeight="false" outlineLevel="0" collapsed="false">
      <c r="A51" s="7" t="s">
        <v>140</v>
      </c>
      <c r="B51" s="7" t="s">
        <v>140</v>
      </c>
      <c r="C51" s="7" t="s">
        <v>131</v>
      </c>
      <c r="D51" s="8" t="s">
        <v>55</v>
      </c>
      <c r="E51" s="9" t="s">
        <v>20</v>
      </c>
      <c r="F51" s="9" t="s">
        <v>19</v>
      </c>
      <c r="G51" s="8" t="n">
        <f aca="false">IF(OR(E51="",F51=""),"",IF(F51=E51,24,ROUND(MOD(TIMEVALUE(F51)-TIMEVALUE(E51),1)*24,2)))</f>
        <v>8</v>
      </c>
      <c r="H51" s="8" t="str">
        <f aca="false">IF(OR(E51="",F51=""),"",IF(TIMEVALUE(F51)&lt;=TIMEVALUE(E51),"yes",""))</f>
        <v/>
      </c>
      <c r="I51" s="10" t="s">
        <v>21</v>
      </c>
      <c r="J51" s="11" t="s">
        <v>22</v>
      </c>
      <c r="K51" s="8" t="s">
        <v>23</v>
      </c>
      <c r="L51" s="12" t="s">
        <v>138</v>
      </c>
    </row>
    <row r="52" customFormat="false" ht="15" hidden="false" customHeight="false" outlineLevel="0" collapsed="false">
      <c r="A52" s="7" t="s">
        <v>141</v>
      </c>
      <c r="B52" s="7" t="s">
        <v>141</v>
      </c>
      <c r="C52" s="7" t="s">
        <v>131</v>
      </c>
      <c r="D52" s="8" t="s">
        <v>55</v>
      </c>
      <c r="E52" s="9" t="s">
        <v>20</v>
      </c>
      <c r="F52" s="9" t="s">
        <v>28</v>
      </c>
      <c r="G52" s="8" t="n">
        <f aca="false">IF(OR(E52="",F52=""),"",IF(F52=E52,24,ROUND(MOD(TIMEVALUE(F52)-TIMEVALUE(E52),1)*24,2)))</f>
        <v>12</v>
      </c>
      <c r="H52" s="8" t="str">
        <f aca="false">IF(OR(E52="",F52=""),"",IF(TIMEVALUE(F52)&lt;=TIMEVALUE(E52),"yes",""))</f>
        <v/>
      </c>
      <c r="I52" s="10" t="s">
        <v>21</v>
      </c>
      <c r="J52" s="11" t="s">
        <v>22</v>
      </c>
      <c r="K52" s="8" t="s">
        <v>23</v>
      </c>
      <c r="L52" s="12" t="s">
        <v>136</v>
      </c>
    </row>
    <row r="53" customFormat="false" ht="15" hidden="false" customHeight="false" outlineLevel="0" collapsed="false">
      <c r="A53" s="7" t="s">
        <v>142</v>
      </c>
      <c r="B53" s="7" t="s">
        <v>142</v>
      </c>
      <c r="C53" s="7" t="s">
        <v>131</v>
      </c>
      <c r="D53" s="8" t="s">
        <v>55</v>
      </c>
      <c r="E53" s="9" t="s">
        <v>20</v>
      </c>
      <c r="F53" s="9" t="s">
        <v>19</v>
      </c>
      <c r="G53" s="8" t="n">
        <f aca="false">IF(OR(E53="",F53=""),"",IF(F53=E53,24,ROUND(MOD(TIMEVALUE(F53)-TIMEVALUE(E53),1)*24,2)))</f>
        <v>8</v>
      </c>
      <c r="H53" s="8" t="str">
        <f aca="false">IF(OR(E53="",F53=""),"",IF(TIMEVALUE(F53)&lt;=TIMEVALUE(E53),"yes",""))</f>
        <v/>
      </c>
      <c r="I53" s="10" t="s">
        <v>21</v>
      </c>
      <c r="J53" s="11" t="s">
        <v>22</v>
      </c>
      <c r="K53" s="8" t="s">
        <v>23</v>
      </c>
      <c r="L53" s="12" t="s">
        <v>138</v>
      </c>
    </row>
    <row r="54" customFormat="false" ht="23.85" hidden="false" customHeight="false" outlineLevel="0" collapsed="false">
      <c r="A54" s="19" t="s">
        <v>143</v>
      </c>
      <c r="B54" s="19" t="s">
        <v>144</v>
      </c>
      <c r="C54" s="19" t="s">
        <v>131</v>
      </c>
      <c r="D54" s="20" t="s">
        <v>55</v>
      </c>
      <c r="E54" s="21" t="s">
        <v>145</v>
      </c>
      <c r="F54" s="21" t="s">
        <v>28</v>
      </c>
      <c r="G54" s="20" t="n">
        <f aca="false">IF(OR(E54="",F54=""),"",IF(F54=E54,24,ROUND(MOD(TIMEVALUE(F54)-TIMEVALUE(E54),1)*24,2)))</f>
        <v>10</v>
      </c>
      <c r="H54" s="20" t="str">
        <f aca="false">IF(OR(E54="",F54=""),"",IF(TIMEVALUE(F54)&lt;=TIMEVALUE(E54),"yes",""))</f>
        <v/>
      </c>
      <c r="I54" s="22" t="s">
        <v>21</v>
      </c>
      <c r="J54" s="23" t="s">
        <v>127</v>
      </c>
      <c r="K54" s="20" t="s">
        <v>23</v>
      </c>
      <c r="L54" s="24" t="s">
        <v>146</v>
      </c>
    </row>
    <row r="55" customFormat="false" ht="15" hidden="false" customHeight="false" outlineLevel="0" collapsed="false">
      <c r="A55" s="7" t="s">
        <v>147</v>
      </c>
      <c r="B55" s="7" t="s">
        <v>148</v>
      </c>
      <c r="C55" s="7" t="s">
        <v>131</v>
      </c>
      <c r="D55" s="8" t="s">
        <v>55</v>
      </c>
      <c r="E55" s="9" t="s">
        <v>73</v>
      </c>
      <c r="F55" s="9" t="s">
        <v>28</v>
      </c>
      <c r="G55" s="8" t="n">
        <f aca="false">IF(OR(E55="",F55=""),"",IF(F55=E55,24,ROUND(MOD(TIMEVALUE(F55)-TIMEVALUE(E55),1)*24,2)))</f>
        <v>8</v>
      </c>
      <c r="H55" s="8" t="str">
        <f aca="false">IF(OR(E55="",F55=""),"",IF(TIMEVALUE(F55)&lt;=TIMEVALUE(E55),"yes",""))</f>
        <v/>
      </c>
      <c r="I55" s="10" t="s">
        <v>21</v>
      </c>
      <c r="J55" s="11" t="s">
        <v>149</v>
      </c>
      <c r="K55" s="8" t="s">
        <v>23</v>
      </c>
      <c r="L55" s="12" t="s">
        <v>150</v>
      </c>
    </row>
    <row r="56" customFormat="false" ht="15" hidden="false" customHeight="false" outlineLevel="0" collapsed="false">
      <c r="A56" s="7" t="s">
        <v>151</v>
      </c>
      <c r="B56" s="7" t="s">
        <v>151</v>
      </c>
      <c r="C56" s="7" t="s">
        <v>131</v>
      </c>
      <c r="D56" s="8" t="s">
        <v>55</v>
      </c>
      <c r="E56" s="9" t="s">
        <v>20</v>
      </c>
      <c r="F56" s="9" t="s">
        <v>86</v>
      </c>
      <c r="G56" s="8" t="n">
        <f aca="false">IF(OR(E56="",F56=""),"",IF(F56=E56,24,ROUND(MOD(TIMEVALUE(F56)-TIMEVALUE(E56),1)*24,2)))</f>
        <v>10</v>
      </c>
      <c r="H56" s="8" t="str">
        <f aca="false">IF(OR(E56="",F56=""),"",IF(TIMEVALUE(F56)&lt;=TIMEVALUE(E56),"yes",""))</f>
        <v/>
      </c>
      <c r="I56" s="10" t="s">
        <v>152</v>
      </c>
      <c r="J56" s="11" t="s">
        <v>153</v>
      </c>
      <c r="K56" s="8" t="s">
        <v>23</v>
      </c>
      <c r="L56" s="12" t="s">
        <v>154</v>
      </c>
    </row>
    <row r="57" customFormat="false" ht="15" hidden="false" customHeight="false" outlineLevel="0" collapsed="false">
      <c r="A57" s="19" t="s">
        <v>155</v>
      </c>
      <c r="B57" s="19" t="s">
        <v>156</v>
      </c>
      <c r="C57" s="19" t="s">
        <v>131</v>
      </c>
      <c r="D57" s="20" t="s">
        <v>55</v>
      </c>
      <c r="E57" s="21" t="s">
        <v>73</v>
      </c>
      <c r="F57" s="21" t="s">
        <v>28</v>
      </c>
      <c r="G57" s="20" t="n">
        <f aca="false">IF(OR(E57="",F57=""),"",IF(F57=E57,24,ROUND(MOD(TIMEVALUE(F57)-TIMEVALUE(E57),1)*24,2)))</f>
        <v>8</v>
      </c>
      <c r="H57" s="20" t="str">
        <f aca="false">IF(OR(E57="",F57=""),"",IF(TIMEVALUE(F57)&lt;=TIMEVALUE(E57),"yes",""))</f>
        <v/>
      </c>
      <c r="I57" s="22" t="s">
        <v>152</v>
      </c>
      <c r="J57" s="23" t="s">
        <v>153</v>
      </c>
      <c r="K57" s="20" t="s">
        <v>23</v>
      </c>
      <c r="L57" s="24" t="s">
        <v>157</v>
      </c>
    </row>
    <row r="58" customFormat="false" ht="15" hidden="false" customHeight="false" outlineLevel="0" collapsed="false">
      <c r="A58" s="19" t="s">
        <v>158</v>
      </c>
      <c r="B58" s="19" t="s">
        <v>159</v>
      </c>
      <c r="C58" s="19" t="s">
        <v>131</v>
      </c>
      <c r="D58" s="20" t="s">
        <v>55</v>
      </c>
      <c r="E58" s="21" t="s">
        <v>145</v>
      </c>
      <c r="F58" s="21" t="s">
        <v>86</v>
      </c>
      <c r="G58" s="20" t="n">
        <f aca="false">IF(OR(E58="",F58=""),"",IF(F58=E58,24,ROUND(MOD(TIMEVALUE(F58)-TIMEVALUE(E58),1)*24,2)))</f>
        <v>8</v>
      </c>
      <c r="H58" s="20" t="str">
        <f aca="false">IF(OR(E58="",F58=""),"",IF(TIMEVALUE(F58)&lt;=TIMEVALUE(E58),"yes",""))</f>
        <v/>
      </c>
      <c r="I58" s="22" t="s">
        <v>152</v>
      </c>
      <c r="J58" s="23" t="s">
        <v>153</v>
      </c>
      <c r="K58" s="20" t="s">
        <v>23</v>
      </c>
      <c r="L58" s="24" t="s">
        <v>160</v>
      </c>
    </row>
    <row r="59" customFormat="false" ht="23.85" hidden="false" customHeight="false" outlineLevel="0" collapsed="false">
      <c r="A59" s="7" t="s">
        <v>161</v>
      </c>
      <c r="B59" s="7" t="s">
        <v>162</v>
      </c>
      <c r="C59" s="7" t="s">
        <v>131</v>
      </c>
      <c r="D59" s="8" t="s">
        <v>55</v>
      </c>
      <c r="E59" s="9" t="s">
        <v>20</v>
      </c>
      <c r="F59" s="9" t="s">
        <v>19</v>
      </c>
      <c r="G59" s="8" t="n">
        <f aca="false">IF(OR(E59="",F59=""),"",IF(F59=E59,24,ROUND(MOD(TIMEVALUE(F59)-TIMEVALUE(E59),1)*24,2)))</f>
        <v>8</v>
      </c>
      <c r="H59" s="8" t="str">
        <f aca="false">IF(OR(E59="",F59=""),"",IF(TIMEVALUE(F59)&lt;=TIMEVALUE(E59),"yes",""))</f>
        <v/>
      </c>
      <c r="I59" s="10" t="s">
        <v>152</v>
      </c>
      <c r="J59" s="11" t="s">
        <v>153</v>
      </c>
      <c r="K59" s="8" t="s">
        <v>23</v>
      </c>
      <c r="L59" s="12" t="s">
        <v>163</v>
      </c>
    </row>
    <row r="60" customFormat="false" ht="23.85" hidden="false" customHeight="false" outlineLevel="0" collapsed="false">
      <c r="A60" s="7" t="s">
        <v>164</v>
      </c>
      <c r="B60" s="7" t="s">
        <v>165</v>
      </c>
      <c r="C60" s="7" t="s">
        <v>131</v>
      </c>
      <c r="D60" s="8" t="s">
        <v>55</v>
      </c>
      <c r="E60" s="9" t="s">
        <v>20</v>
      </c>
      <c r="F60" s="9" t="s">
        <v>19</v>
      </c>
      <c r="G60" s="8" t="n">
        <f aca="false">IF(OR(E60="",F60=""),"",IF(F60=E60,24,ROUND(MOD(TIMEVALUE(F60)-TIMEVALUE(E60),1)*24,2)))</f>
        <v>8</v>
      </c>
      <c r="H60" s="8" t="str">
        <f aca="false">IF(OR(E60="",F60=""),"",IF(TIMEVALUE(F60)&lt;=TIMEVALUE(E60),"yes",""))</f>
        <v/>
      </c>
      <c r="I60" s="10" t="s">
        <v>152</v>
      </c>
      <c r="J60" s="11" t="s">
        <v>153</v>
      </c>
      <c r="K60" s="8" t="s">
        <v>23</v>
      </c>
      <c r="L60" s="12" t="s">
        <v>166</v>
      </c>
    </row>
    <row r="61" customFormat="false" ht="23.85" hidden="false" customHeight="false" outlineLevel="0" collapsed="false">
      <c r="A61" s="19" t="s">
        <v>167</v>
      </c>
      <c r="B61" s="19" t="s">
        <v>168</v>
      </c>
      <c r="C61" s="19" t="s">
        <v>131</v>
      </c>
      <c r="D61" s="20" t="s">
        <v>55</v>
      </c>
      <c r="E61" s="21" t="s">
        <v>20</v>
      </c>
      <c r="F61" s="21" t="s">
        <v>86</v>
      </c>
      <c r="G61" s="20" t="n">
        <f aca="false">IF(OR(E61="",F61=""),"",IF(F61=E61,24,ROUND(MOD(TIMEVALUE(F61)-TIMEVALUE(E61),1)*24,2)))</f>
        <v>10</v>
      </c>
      <c r="H61" s="20" t="str">
        <f aca="false">IF(OR(E61="",F61=""),"",IF(TIMEVALUE(F61)&lt;=TIMEVALUE(E61),"yes",""))</f>
        <v/>
      </c>
      <c r="I61" s="22" t="s">
        <v>152</v>
      </c>
      <c r="J61" s="23" t="s">
        <v>153</v>
      </c>
      <c r="K61" s="20" t="s">
        <v>23</v>
      </c>
      <c r="L61" s="24" t="s">
        <v>169</v>
      </c>
    </row>
    <row r="62" customFormat="false" ht="15" hidden="false" customHeight="false" outlineLevel="0" collapsed="false">
      <c r="A62" s="7" t="s">
        <v>170</v>
      </c>
      <c r="B62" s="7" t="s">
        <v>171</v>
      </c>
      <c r="C62" s="7" t="s">
        <v>131</v>
      </c>
      <c r="D62" s="8" t="s">
        <v>55</v>
      </c>
      <c r="E62" s="9" t="s">
        <v>20</v>
      </c>
      <c r="F62" s="9" t="s">
        <v>28</v>
      </c>
      <c r="G62" s="8" t="n">
        <f aca="false">IF(OR(E62="",F62=""),"",IF(F62=E62,24,ROUND(MOD(TIMEVALUE(F62)-TIMEVALUE(E62),1)*24,2)))</f>
        <v>12</v>
      </c>
      <c r="H62" s="8" t="str">
        <f aca="false">IF(OR(E62="",F62=""),"",IF(TIMEVALUE(F62)&lt;=TIMEVALUE(E62),"yes",""))</f>
        <v/>
      </c>
      <c r="I62" s="10" t="s">
        <v>152</v>
      </c>
      <c r="J62" s="11" t="s">
        <v>172</v>
      </c>
      <c r="K62" s="8" t="s">
        <v>23</v>
      </c>
      <c r="L62" s="12" t="s">
        <v>173</v>
      </c>
    </row>
    <row r="63" customFormat="false" ht="15" hidden="false" customHeight="false" outlineLevel="0" collapsed="false">
      <c r="A63" s="7" t="s">
        <v>174</v>
      </c>
      <c r="B63" s="7" t="s">
        <v>175</v>
      </c>
      <c r="C63" s="7" t="s">
        <v>131</v>
      </c>
      <c r="D63" s="8" t="s">
        <v>55</v>
      </c>
      <c r="E63" s="9" t="s">
        <v>28</v>
      </c>
      <c r="F63" s="9" t="s">
        <v>20</v>
      </c>
      <c r="G63" s="8" t="n">
        <f aca="false">IF(OR(E63="",F63=""),"",IF(F63=E63,24,ROUND(MOD(TIMEVALUE(F63)-TIMEVALUE(E63),1)*24,2)))</f>
        <v>12</v>
      </c>
      <c r="H63" s="8" t="str">
        <f aca="false">IF(OR(E63="",F63=""),"",IF(TIMEVALUE(F63)&lt;=TIMEVALUE(E63),"yes",""))</f>
        <v>yes</v>
      </c>
      <c r="I63" s="10" t="s">
        <v>152</v>
      </c>
      <c r="J63" s="11" t="s">
        <v>172</v>
      </c>
      <c r="K63" s="8" t="s">
        <v>23</v>
      </c>
      <c r="L63" s="12" t="s">
        <v>176</v>
      </c>
    </row>
    <row r="64" customFormat="false" ht="23.85" hidden="false" customHeight="false" outlineLevel="0" collapsed="false">
      <c r="A64" s="7" t="s">
        <v>177</v>
      </c>
      <c r="B64" s="7" t="s">
        <v>177</v>
      </c>
      <c r="C64" s="7" t="s">
        <v>131</v>
      </c>
      <c r="D64" s="8" t="s">
        <v>55</v>
      </c>
      <c r="E64" s="9" t="s">
        <v>20</v>
      </c>
      <c r="F64" s="9" t="s">
        <v>19</v>
      </c>
      <c r="G64" s="8" t="n">
        <f aca="false">IF(OR(E64="",F64=""),"",IF(F64=E64,24,ROUND(MOD(TIMEVALUE(F64)-TIMEVALUE(E64),1)*24,2)))</f>
        <v>8</v>
      </c>
      <c r="H64" s="8" t="str">
        <f aca="false">IF(OR(E64="",F64=""),"",IF(TIMEVALUE(F64)&lt;=TIMEVALUE(E64),"yes",""))</f>
        <v/>
      </c>
      <c r="I64" s="10" t="s">
        <v>152</v>
      </c>
      <c r="J64" s="11" t="s">
        <v>153</v>
      </c>
      <c r="K64" s="8" t="s">
        <v>23</v>
      </c>
      <c r="L64" s="12" t="s">
        <v>163</v>
      </c>
    </row>
    <row r="65" customFormat="false" ht="15" hidden="false" customHeight="false" outlineLevel="0" collapsed="false">
      <c r="A65" s="7" t="s">
        <v>178</v>
      </c>
      <c r="B65" s="7" t="s">
        <v>178</v>
      </c>
      <c r="C65" s="7" t="s">
        <v>179</v>
      </c>
      <c r="D65" s="8" t="s">
        <v>55</v>
      </c>
      <c r="E65" s="9" t="s">
        <v>20</v>
      </c>
      <c r="F65" s="9" t="s">
        <v>19</v>
      </c>
      <c r="G65" s="8" t="n">
        <f aca="false">IF(OR(E65="",F65=""),"",IF(F65=E65,24,ROUND(MOD(TIMEVALUE(F65)-TIMEVALUE(E65),1)*24,2)))</f>
        <v>8</v>
      </c>
      <c r="H65" s="8" t="str">
        <f aca="false">IF(OR(E65="",F65=""),"",IF(TIMEVALUE(F65)&lt;=TIMEVALUE(E65),"yes",""))</f>
        <v/>
      </c>
      <c r="I65" s="10" t="s">
        <v>21</v>
      </c>
      <c r="J65" s="11" t="s">
        <v>22</v>
      </c>
      <c r="K65" s="8" t="s">
        <v>23</v>
      </c>
      <c r="L65" s="12" t="s">
        <v>180</v>
      </c>
    </row>
    <row r="66" customFormat="false" ht="15" hidden="false" customHeight="false" outlineLevel="0" collapsed="false">
      <c r="A66" s="7" t="s">
        <v>181</v>
      </c>
      <c r="B66" s="7" t="s">
        <v>181</v>
      </c>
      <c r="C66" s="7" t="s">
        <v>179</v>
      </c>
      <c r="D66" s="8" t="s">
        <v>55</v>
      </c>
      <c r="E66" s="9" t="s">
        <v>20</v>
      </c>
      <c r="F66" s="9" t="s">
        <v>19</v>
      </c>
      <c r="G66" s="8" t="n">
        <f aca="false">IF(OR(E66="",F66=""),"",IF(F66=E66,24,ROUND(MOD(TIMEVALUE(F66)-TIMEVALUE(E66),1)*24,2)))</f>
        <v>8</v>
      </c>
      <c r="H66" s="8" t="str">
        <f aca="false">IF(OR(E66="",F66=""),"",IF(TIMEVALUE(F66)&lt;=TIMEVALUE(E66),"yes",""))</f>
        <v/>
      </c>
      <c r="I66" s="10" t="s">
        <v>21</v>
      </c>
      <c r="J66" s="11" t="s">
        <v>22</v>
      </c>
      <c r="K66" s="8" t="s">
        <v>23</v>
      </c>
      <c r="L66" s="12" t="s">
        <v>180</v>
      </c>
    </row>
    <row r="67" customFormat="false" ht="15" hidden="false" customHeight="false" outlineLevel="0" collapsed="false">
      <c r="A67" s="7" t="s">
        <v>182</v>
      </c>
      <c r="B67" s="7" t="s">
        <v>182</v>
      </c>
      <c r="C67" s="7" t="s">
        <v>179</v>
      </c>
      <c r="D67" s="8" t="s">
        <v>55</v>
      </c>
      <c r="E67" s="9" t="s">
        <v>20</v>
      </c>
      <c r="F67" s="9" t="s">
        <v>19</v>
      </c>
      <c r="G67" s="8" t="n">
        <f aca="false">IF(OR(E67="",F67=""),"",IF(F67=E67,24,ROUND(MOD(TIMEVALUE(F67)-TIMEVALUE(E67),1)*24,2)))</f>
        <v>8</v>
      </c>
      <c r="H67" s="8" t="str">
        <f aca="false">IF(OR(E67="",F67=""),"",IF(TIMEVALUE(F67)&lt;=TIMEVALUE(E67),"yes",""))</f>
        <v/>
      </c>
      <c r="I67" s="10" t="s">
        <v>21</v>
      </c>
      <c r="J67" s="11" t="s">
        <v>22</v>
      </c>
      <c r="K67" s="8" t="s">
        <v>23</v>
      </c>
      <c r="L67" s="12" t="s">
        <v>180</v>
      </c>
    </row>
    <row r="68" customFormat="false" ht="15" hidden="false" customHeight="false" outlineLevel="0" collapsed="false">
      <c r="A68" s="7" t="s">
        <v>183</v>
      </c>
      <c r="B68" s="7" t="s">
        <v>184</v>
      </c>
      <c r="C68" s="7" t="s">
        <v>179</v>
      </c>
      <c r="D68" s="8" t="s">
        <v>55</v>
      </c>
      <c r="E68" s="9" t="s">
        <v>20</v>
      </c>
      <c r="F68" s="9" t="s">
        <v>19</v>
      </c>
      <c r="G68" s="8" t="n">
        <f aca="false">IF(OR(E68="",F68=""),"",IF(F68=E68,24,ROUND(MOD(TIMEVALUE(F68)-TIMEVALUE(E68),1)*24,2)))</f>
        <v>8</v>
      </c>
      <c r="H68" s="8" t="str">
        <f aca="false">IF(OR(E68="",F68=""),"",IF(TIMEVALUE(F68)&lt;=TIMEVALUE(E68),"yes",""))</f>
        <v/>
      </c>
      <c r="I68" s="10" t="s">
        <v>21</v>
      </c>
      <c r="J68" s="11" t="s">
        <v>22</v>
      </c>
      <c r="K68" s="8" t="s">
        <v>23</v>
      </c>
      <c r="L68" s="12" t="s">
        <v>180</v>
      </c>
    </row>
    <row r="69" customFormat="false" ht="15" hidden="false" customHeight="false" outlineLevel="0" collapsed="false">
      <c r="A69" s="7" t="s">
        <v>185</v>
      </c>
      <c r="B69" s="7" t="s">
        <v>186</v>
      </c>
      <c r="C69" s="7" t="s">
        <v>179</v>
      </c>
      <c r="D69" s="8" t="s">
        <v>55</v>
      </c>
      <c r="E69" s="9" t="s">
        <v>20</v>
      </c>
      <c r="F69" s="9" t="s">
        <v>73</v>
      </c>
      <c r="G69" s="8" t="n">
        <f aca="false">IF(OR(E69="",F69=""),"",IF(F69=E69,24,ROUND(MOD(TIMEVALUE(F69)-TIMEVALUE(E69),1)*24,2)))</f>
        <v>4</v>
      </c>
      <c r="H69" s="8" t="str">
        <f aca="false">IF(OR(E69="",F69=""),"",IF(TIMEVALUE(F69)&lt;=TIMEVALUE(E69),"yes",""))</f>
        <v/>
      </c>
      <c r="I69" s="10" t="s">
        <v>21</v>
      </c>
      <c r="J69" s="11" t="s">
        <v>22</v>
      </c>
      <c r="K69" s="8" t="s">
        <v>23</v>
      </c>
      <c r="L69" s="12" t="s">
        <v>187</v>
      </c>
    </row>
    <row r="70" customFormat="false" ht="23.85" hidden="false" customHeight="false" outlineLevel="0" collapsed="false">
      <c r="A70" s="7" t="s">
        <v>188</v>
      </c>
      <c r="B70" s="7" t="s">
        <v>189</v>
      </c>
      <c r="C70" s="7" t="s">
        <v>179</v>
      </c>
      <c r="D70" s="8" t="s">
        <v>55</v>
      </c>
      <c r="E70" s="9" t="s">
        <v>92</v>
      </c>
      <c r="F70" s="9" t="s">
        <v>86</v>
      </c>
      <c r="G70" s="8" t="n">
        <f aca="false">IF(OR(E70="",F70=""),"",IF(F70=E70,24,ROUND(MOD(TIMEVALUE(F70)-TIMEVALUE(E70),1)*24,2)))</f>
        <v>4</v>
      </c>
      <c r="H70" s="8" t="str">
        <f aca="false">IF(OR(E70="",F70=""),"",IF(TIMEVALUE(F70)&lt;=TIMEVALUE(E70),"yes",""))</f>
        <v/>
      </c>
      <c r="I70" s="10" t="s">
        <v>21</v>
      </c>
      <c r="J70" s="11" t="s">
        <v>22</v>
      </c>
      <c r="K70" s="8" t="s">
        <v>23</v>
      </c>
      <c r="L70" s="12" t="s">
        <v>190</v>
      </c>
    </row>
    <row r="71" customFormat="false" ht="23.85" hidden="false" customHeight="false" outlineLevel="0" collapsed="false">
      <c r="A71" s="7" t="s">
        <v>191</v>
      </c>
      <c r="B71" s="7" t="s">
        <v>192</v>
      </c>
      <c r="C71" s="7" t="s">
        <v>179</v>
      </c>
      <c r="D71" s="8" t="s">
        <v>55</v>
      </c>
      <c r="E71" s="9" t="s">
        <v>20</v>
      </c>
      <c r="F71" s="9" t="s">
        <v>73</v>
      </c>
      <c r="G71" s="8" t="n">
        <f aca="false">IF(OR(E71="",F71=""),"",IF(F71=E71,24,ROUND(MOD(TIMEVALUE(F71)-TIMEVALUE(E71),1)*24,2)))</f>
        <v>4</v>
      </c>
      <c r="H71" s="8" t="str">
        <f aca="false">IF(OR(E71="",F71=""),"",IF(TIMEVALUE(F71)&lt;=TIMEVALUE(E71),"yes",""))</f>
        <v/>
      </c>
      <c r="I71" s="10" t="s">
        <v>21</v>
      </c>
      <c r="J71" s="11" t="s">
        <v>22</v>
      </c>
      <c r="K71" s="8" t="s">
        <v>23</v>
      </c>
      <c r="L71" s="12" t="s">
        <v>193</v>
      </c>
    </row>
    <row r="72" customFormat="false" ht="15" hidden="false" customHeight="false" outlineLevel="0" collapsed="false">
      <c r="A72" s="7" t="s">
        <v>194</v>
      </c>
      <c r="B72" s="7" t="s">
        <v>195</v>
      </c>
      <c r="C72" s="7" t="s">
        <v>179</v>
      </c>
      <c r="D72" s="8" t="s">
        <v>55</v>
      </c>
      <c r="E72" s="9" t="s">
        <v>20</v>
      </c>
      <c r="F72" s="9" t="s">
        <v>19</v>
      </c>
      <c r="G72" s="8" t="n">
        <f aca="false">IF(OR(E72="",F72=""),"",IF(F72=E72,24,ROUND(MOD(TIMEVALUE(F72)-TIMEVALUE(E72),1)*24,2)))</f>
        <v>8</v>
      </c>
      <c r="H72" s="8" t="str">
        <f aca="false">IF(OR(E72="",F72=""),"",IF(TIMEVALUE(F72)&lt;=TIMEVALUE(E72),"yes",""))</f>
        <v/>
      </c>
      <c r="I72" s="10" t="s">
        <v>21</v>
      </c>
      <c r="J72" s="11" t="s">
        <v>22</v>
      </c>
      <c r="K72" s="8" t="s">
        <v>23</v>
      </c>
      <c r="L72" s="12" t="s">
        <v>180</v>
      </c>
    </row>
    <row r="73" customFormat="false" ht="15" hidden="false" customHeight="false" outlineLevel="0" collapsed="false">
      <c r="A73" s="7" t="s">
        <v>196</v>
      </c>
      <c r="B73" s="7" t="s">
        <v>197</v>
      </c>
      <c r="C73" s="7" t="s">
        <v>179</v>
      </c>
      <c r="D73" s="8" t="s">
        <v>55</v>
      </c>
      <c r="E73" s="9" t="s">
        <v>20</v>
      </c>
      <c r="F73" s="9" t="s">
        <v>19</v>
      </c>
      <c r="G73" s="8" t="n">
        <f aca="false">IF(OR(E73="",F73=""),"",IF(F73=E73,24,ROUND(MOD(TIMEVALUE(F73)-TIMEVALUE(E73),1)*24,2)))</f>
        <v>8</v>
      </c>
      <c r="H73" s="8" t="str">
        <f aca="false">IF(OR(E73="",F73=""),"",IF(TIMEVALUE(F73)&lt;=TIMEVALUE(E73),"yes",""))</f>
        <v/>
      </c>
      <c r="I73" s="10" t="s">
        <v>21</v>
      </c>
      <c r="J73" s="11" t="s">
        <v>22</v>
      </c>
      <c r="K73" s="8" t="s">
        <v>23</v>
      </c>
      <c r="L73" s="12" t="s">
        <v>180</v>
      </c>
    </row>
    <row r="74" customFormat="false" ht="15" hidden="false" customHeight="false" outlineLevel="0" collapsed="false">
      <c r="A74" s="7" t="s">
        <v>198</v>
      </c>
      <c r="B74" s="7" t="s">
        <v>199</v>
      </c>
      <c r="C74" s="7" t="s">
        <v>179</v>
      </c>
      <c r="D74" s="8" t="s">
        <v>55</v>
      </c>
      <c r="E74" s="9" t="s">
        <v>20</v>
      </c>
      <c r="F74" s="9" t="s">
        <v>19</v>
      </c>
      <c r="G74" s="8" t="n">
        <f aca="false">IF(OR(E74="",F74=""),"",IF(F74=E74,24,ROUND(MOD(TIMEVALUE(F74)-TIMEVALUE(E74),1)*24,2)))</f>
        <v>8</v>
      </c>
      <c r="H74" s="8" t="str">
        <f aca="false">IF(OR(E74="",F74=""),"",IF(TIMEVALUE(F74)&lt;=TIMEVALUE(E74),"yes",""))</f>
        <v/>
      </c>
      <c r="I74" s="10" t="s">
        <v>21</v>
      </c>
      <c r="J74" s="11" t="s">
        <v>22</v>
      </c>
      <c r="K74" s="8" t="s">
        <v>23</v>
      </c>
      <c r="L74" s="12" t="s">
        <v>180</v>
      </c>
    </row>
    <row r="75" customFormat="false" ht="15" hidden="false" customHeight="false" outlineLevel="0" collapsed="false">
      <c r="A75" s="7" t="s">
        <v>200</v>
      </c>
      <c r="B75" s="7" t="s">
        <v>201</v>
      </c>
      <c r="C75" s="7" t="s">
        <v>179</v>
      </c>
      <c r="D75" s="8" t="s">
        <v>55</v>
      </c>
      <c r="E75" s="9" t="s">
        <v>20</v>
      </c>
      <c r="F75" s="9" t="s">
        <v>19</v>
      </c>
      <c r="G75" s="8" t="n">
        <f aca="false">IF(OR(E75="",F75=""),"",IF(F75=E75,24,ROUND(MOD(TIMEVALUE(F75)-TIMEVALUE(E75),1)*24,2)))</f>
        <v>8</v>
      </c>
      <c r="H75" s="8" t="str">
        <f aca="false">IF(OR(E75="",F75=""),"",IF(TIMEVALUE(F75)&lt;=TIMEVALUE(E75),"yes",""))</f>
        <v/>
      </c>
      <c r="I75" s="10" t="s">
        <v>21</v>
      </c>
      <c r="J75" s="11" t="s">
        <v>22</v>
      </c>
      <c r="K75" s="8" t="s">
        <v>23</v>
      </c>
      <c r="L75" s="12" t="s">
        <v>180</v>
      </c>
    </row>
    <row r="76" customFormat="false" ht="15" hidden="false" customHeight="false" outlineLevel="0" collapsed="false">
      <c r="A76" s="13" t="s">
        <v>202</v>
      </c>
      <c r="B76" s="13" t="s">
        <v>203</v>
      </c>
      <c r="C76" s="13" t="s">
        <v>179</v>
      </c>
      <c r="D76" s="14" t="s">
        <v>55</v>
      </c>
      <c r="E76" s="15" t="s">
        <v>92</v>
      </c>
      <c r="F76" s="15" t="s">
        <v>86</v>
      </c>
      <c r="G76" s="14" t="n">
        <f aca="false">IF(OR(E76="",F76=""),"",IF(F76=E76,24,ROUND(MOD(TIMEVALUE(F76)-TIMEVALUE(E76),1)*24,2)))</f>
        <v>4</v>
      </c>
      <c r="H76" s="14" t="str">
        <f aca="false">IF(OR(E76="",F76=""),"",IF(TIMEVALUE(F76)&lt;=TIMEVALUE(E76),"yes",""))</f>
        <v/>
      </c>
      <c r="I76" s="16" t="s">
        <v>21</v>
      </c>
      <c r="J76" s="17" t="s">
        <v>22</v>
      </c>
      <c r="K76" s="14" t="s">
        <v>32</v>
      </c>
      <c r="L76" s="18" t="s">
        <v>204</v>
      </c>
    </row>
    <row r="77" customFormat="false" ht="15" hidden="false" customHeight="false" outlineLevel="0" collapsed="false">
      <c r="A77" s="7" t="s">
        <v>205</v>
      </c>
      <c r="B77" s="7" t="s">
        <v>206</v>
      </c>
      <c r="C77" s="7" t="s">
        <v>179</v>
      </c>
      <c r="D77" s="8" t="s">
        <v>55</v>
      </c>
      <c r="E77" s="9" t="s">
        <v>20</v>
      </c>
      <c r="F77" s="9" t="s">
        <v>19</v>
      </c>
      <c r="G77" s="8" t="n">
        <f aca="false">IF(OR(E77="",F77=""),"",IF(F77=E77,24,ROUND(MOD(TIMEVALUE(F77)-TIMEVALUE(E77),1)*24,2)))</f>
        <v>8</v>
      </c>
      <c r="H77" s="8" t="str">
        <f aca="false">IF(OR(E77="",F77=""),"",IF(TIMEVALUE(F77)&lt;=TIMEVALUE(E77),"yes",""))</f>
        <v/>
      </c>
      <c r="I77" s="10" t="s">
        <v>21</v>
      </c>
      <c r="J77" s="11" t="s">
        <v>22</v>
      </c>
      <c r="K77" s="8" t="s">
        <v>23</v>
      </c>
      <c r="L77" s="12" t="s">
        <v>180</v>
      </c>
    </row>
    <row r="78" customFormat="false" ht="15" hidden="false" customHeight="false" outlineLevel="0" collapsed="false">
      <c r="A78" s="7" t="s">
        <v>207</v>
      </c>
      <c r="B78" s="7" t="s">
        <v>208</v>
      </c>
      <c r="C78" s="7" t="s">
        <v>179</v>
      </c>
      <c r="D78" s="8" t="s">
        <v>55</v>
      </c>
      <c r="E78" s="9" t="s">
        <v>20</v>
      </c>
      <c r="F78" s="9" t="s">
        <v>19</v>
      </c>
      <c r="G78" s="8" t="n">
        <f aca="false">IF(OR(E78="",F78=""),"",IF(F78=E78,24,ROUND(MOD(TIMEVALUE(F78)-TIMEVALUE(E78),1)*24,2)))</f>
        <v>8</v>
      </c>
      <c r="H78" s="8" t="str">
        <f aca="false">IF(OR(E78="",F78=""),"",IF(TIMEVALUE(F78)&lt;=TIMEVALUE(E78),"yes",""))</f>
        <v/>
      </c>
      <c r="I78" s="10" t="s">
        <v>21</v>
      </c>
      <c r="J78" s="11" t="s">
        <v>22</v>
      </c>
      <c r="K78" s="8" t="s">
        <v>23</v>
      </c>
      <c r="L78" s="12" t="s">
        <v>180</v>
      </c>
    </row>
    <row r="79" customFormat="false" ht="15" hidden="false" customHeight="false" outlineLevel="0" collapsed="false">
      <c r="A79" s="7" t="s">
        <v>209</v>
      </c>
      <c r="B79" s="7" t="s">
        <v>209</v>
      </c>
      <c r="C79" s="7" t="s">
        <v>210</v>
      </c>
      <c r="D79" s="8" t="s">
        <v>55</v>
      </c>
      <c r="E79" s="9" t="s">
        <v>20</v>
      </c>
      <c r="F79" s="9" t="s">
        <v>19</v>
      </c>
      <c r="G79" s="8" t="n">
        <f aca="false">IF(OR(E79="",F79=""),"",IF(F79=E79,24,ROUND(MOD(TIMEVALUE(F79)-TIMEVALUE(E79),1)*24,2)))</f>
        <v>8</v>
      </c>
      <c r="H79" s="8" t="str">
        <f aca="false">IF(OR(E79="",F79=""),"",IF(TIMEVALUE(F79)&lt;=TIMEVALUE(E79),"yes",""))</f>
        <v/>
      </c>
      <c r="I79" s="10" t="s">
        <v>21</v>
      </c>
      <c r="J79" s="11" t="s">
        <v>22</v>
      </c>
      <c r="K79" s="8" t="s">
        <v>23</v>
      </c>
      <c r="L79" s="12" t="s">
        <v>180</v>
      </c>
    </row>
    <row r="80" customFormat="false" ht="15" hidden="false" customHeight="false" outlineLevel="0" collapsed="false">
      <c r="A80" s="7" t="s">
        <v>211</v>
      </c>
      <c r="B80" s="7" t="s">
        <v>212</v>
      </c>
      <c r="C80" s="7" t="s">
        <v>210</v>
      </c>
      <c r="D80" s="8" t="s">
        <v>55</v>
      </c>
      <c r="E80" s="9" t="s">
        <v>20</v>
      </c>
      <c r="F80" s="9" t="s">
        <v>19</v>
      </c>
      <c r="G80" s="8" t="n">
        <f aca="false">IF(OR(E80="",F80=""),"",IF(F80=E80,24,ROUND(MOD(TIMEVALUE(F80)-TIMEVALUE(E80),1)*24,2)))</f>
        <v>8</v>
      </c>
      <c r="H80" s="8" t="str">
        <f aca="false">IF(OR(E80="",F80=""),"",IF(TIMEVALUE(F80)&lt;=TIMEVALUE(E80),"yes",""))</f>
        <v/>
      </c>
      <c r="I80" s="10" t="s">
        <v>21</v>
      </c>
      <c r="J80" s="11" t="s">
        <v>22</v>
      </c>
      <c r="K80" s="8" t="s">
        <v>23</v>
      </c>
      <c r="L80" s="12" t="s">
        <v>180</v>
      </c>
    </row>
    <row r="81" customFormat="false" ht="15" hidden="false" customHeight="false" outlineLevel="0" collapsed="false">
      <c r="A81" s="7" t="s">
        <v>213</v>
      </c>
      <c r="B81" s="7" t="s">
        <v>213</v>
      </c>
      <c r="C81" s="7" t="s">
        <v>210</v>
      </c>
      <c r="D81" s="8" t="s">
        <v>55</v>
      </c>
      <c r="E81" s="9" t="s">
        <v>20</v>
      </c>
      <c r="F81" s="9" t="s">
        <v>19</v>
      </c>
      <c r="G81" s="8" t="n">
        <f aca="false">IF(OR(E81="",F81=""),"",IF(F81=E81,24,ROUND(MOD(TIMEVALUE(F81)-TIMEVALUE(E81),1)*24,2)))</f>
        <v>8</v>
      </c>
      <c r="H81" s="8" t="str">
        <f aca="false">IF(OR(E81="",F81=""),"",IF(TIMEVALUE(F81)&lt;=TIMEVALUE(E81),"yes",""))</f>
        <v/>
      </c>
      <c r="I81" s="10" t="s">
        <v>21</v>
      </c>
      <c r="J81" s="11" t="s">
        <v>22</v>
      </c>
      <c r="K81" s="8" t="s">
        <v>23</v>
      </c>
      <c r="L81" s="12" t="s">
        <v>180</v>
      </c>
    </row>
    <row r="82" customFormat="false" ht="15" hidden="false" customHeight="false" outlineLevel="0" collapsed="false">
      <c r="A82" s="7" t="s">
        <v>214</v>
      </c>
      <c r="B82" s="7" t="s">
        <v>214</v>
      </c>
      <c r="C82" s="7" t="s">
        <v>210</v>
      </c>
      <c r="D82" s="8" t="s">
        <v>55</v>
      </c>
      <c r="E82" s="9" t="s">
        <v>20</v>
      </c>
      <c r="F82" s="9" t="s">
        <v>19</v>
      </c>
      <c r="G82" s="8" t="n">
        <f aca="false">IF(OR(E82="",F82=""),"",IF(F82=E82,24,ROUND(MOD(TIMEVALUE(F82)-TIMEVALUE(E82),1)*24,2)))</f>
        <v>8</v>
      </c>
      <c r="H82" s="8" t="str">
        <f aca="false">IF(OR(E82="",F82=""),"",IF(TIMEVALUE(F82)&lt;=TIMEVALUE(E82),"yes",""))</f>
        <v/>
      </c>
      <c r="I82" s="10" t="s">
        <v>21</v>
      </c>
      <c r="J82" s="11" t="s">
        <v>22</v>
      </c>
      <c r="K82" s="8" t="s">
        <v>23</v>
      </c>
      <c r="L82" s="12" t="s">
        <v>180</v>
      </c>
    </row>
    <row r="83" customFormat="false" ht="15" hidden="false" customHeight="false" outlineLevel="0" collapsed="false">
      <c r="A83" s="7" t="s">
        <v>215</v>
      </c>
      <c r="B83" s="7" t="s">
        <v>215</v>
      </c>
      <c r="C83" s="7" t="s">
        <v>210</v>
      </c>
      <c r="D83" s="8" t="s">
        <v>55</v>
      </c>
      <c r="E83" s="9" t="s">
        <v>20</v>
      </c>
      <c r="F83" s="9" t="s">
        <v>19</v>
      </c>
      <c r="G83" s="8" t="n">
        <f aca="false">IF(OR(E83="",F83=""),"",IF(F83=E83,24,ROUND(MOD(TIMEVALUE(F83)-TIMEVALUE(E83),1)*24,2)))</f>
        <v>8</v>
      </c>
      <c r="H83" s="8" t="str">
        <f aca="false">IF(OR(E83="",F83=""),"",IF(TIMEVALUE(F83)&lt;=TIMEVALUE(E83),"yes",""))</f>
        <v/>
      </c>
      <c r="I83" s="10" t="s">
        <v>21</v>
      </c>
      <c r="J83" s="11" t="s">
        <v>22</v>
      </c>
      <c r="K83" s="8" t="s">
        <v>23</v>
      </c>
      <c r="L83" s="12" t="s">
        <v>180</v>
      </c>
    </row>
    <row r="84" customFormat="false" ht="15" hidden="false" customHeight="false" outlineLevel="0" collapsed="false">
      <c r="A84" s="7" t="s">
        <v>216</v>
      </c>
      <c r="B84" s="7" t="s">
        <v>217</v>
      </c>
      <c r="C84" s="7" t="s">
        <v>210</v>
      </c>
      <c r="D84" s="8" t="s">
        <v>55</v>
      </c>
      <c r="E84" s="9" t="s">
        <v>20</v>
      </c>
      <c r="F84" s="9" t="s">
        <v>19</v>
      </c>
      <c r="G84" s="8" t="n">
        <f aca="false">IF(OR(E84="",F84=""),"",IF(F84=E84,24,ROUND(MOD(TIMEVALUE(F84)-TIMEVALUE(E84),1)*24,2)))</f>
        <v>8</v>
      </c>
      <c r="H84" s="8" t="str">
        <f aca="false">IF(OR(E84="",F84=""),"",IF(TIMEVALUE(F84)&lt;=TIMEVALUE(E84),"yes",""))</f>
        <v/>
      </c>
      <c r="I84" s="10" t="s">
        <v>21</v>
      </c>
      <c r="J84" s="11" t="s">
        <v>22</v>
      </c>
      <c r="K84" s="8" t="s">
        <v>23</v>
      </c>
      <c r="L84" s="12" t="s">
        <v>180</v>
      </c>
    </row>
    <row r="85" customFormat="false" ht="15" hidden="false" customHeight="false" outlineLevel="0" collapsed="false">
      <c r="A85" s="7" t="s">
        <v>218</v>
      </c>
      <c r="B85" s="7" t="s">
        <v>219</v>
      </c>
      <c r="C85" s="7" t="s">
        <v>210</v>
      </c>
      <c r="D85" s="8" t="s">
        <v>55</v>
      </c>
      <c r="E85" s="9" t="s">
        <v>20</v>
      </c>
      <c r="F85" s="9" t="s">
        <v>19</v>
      </c>
      <c r="G85" s="8" t="n">
        <f aca="false">IF(OR(E85="",F85=""),"",IF(F85=E85,24,ROUND(MOD(TIMEVALUE(F85)-TIMEVALUE(E85),1)*24,2)))</f>
        <v>8</v>
      </c>
      <c r="H85" s="8" t="str">
        <f aca="false">IF(OR(E85="",F85=""),"",IF(TIMEVALUE(F85)&lt;=TIMEVALUE(E85),"yes",""))</f>
        <v/>
      </c>
      <c r="I85" s="10" t="s">
        <v>21</v>
      </c>
      <c r="J85" s="11" t="s">
        <v>22</v>
      </c>
      <c r="K85" s="8" t="s">
        <v>23</v>
      </c>
      <c r="L85" s="12" t="s">
        <v>180</v>
      </c>
    </row>
    <row r="86" customFormat="false" ht="15" hidden="false" customHeight="false" outlineLevel="0" collapsed="false">
      <c r="A86" s="7" t="s">
        <v>220</v>
      </c>
      <c r="B86" s="7" t="s">
        <v>221</v>
      </c>
      <c r="C86" s="7" t="s">
        <v>210</v>
      </c>
      <c r="D86" s="8" t="s">
        <v>55</v>
      </c>
      <c r="E86" s="9" t="s">
        <v>20</v>
      </c>
      <c r="F86" s="9" t="s">
        <v>19</v>
      </c>
      <c r="G86" s="8" t="n">
        <f aca="false">IF(OR(E86="",F86=""),"",IF(F86=E86,24,ROUND(MOD(TIMEVALUE(F86)-TIMEVALUE(E86),1)*24,2)))</f>
        <v>8</v>
      </c>
      <c r="H86" s="8" t="str">
        <f aca="false">IF(OR(E86="",F86=""),"",IF(TIMEVALUE(F86)&lt;=TIMEVALUE(E86),"yes",""))</f>
        <v/>
      </c>
      <c r="I86" s="10" t="s">
        <v>21</v>
      </c>
      <c r="J86" s="11" t="s">
        <v>22</v>
      </c>
      <c r="K86" s="8" t="s">
        <v>23</v>
      </c>
      <c r="L86" s="12" t="s">
        <v>180</v>
      </c>
    </row>
    <row r="87" customFormat="false" ht="15" hidden="false" customHeight="false" outlineLevel="0" collapsed="false">
      <c r="A87" s="7" t="s">
        <v>222</v>
      </c>
      <c r="B87" s="7" t="s">
        <v>223</v>
      </c>
      <c r="C87" s="7" t="s">
        <v>224</v>
      </c>
      <c r="D87" s="8" t="s">
        <v>55</v>
      </c>
      <c r="E87" s="9" t="s">
        <v>20</v>
      </c>
      <c r="F87" s="9" t="s">
        <v>19</v>
      </c>
      <c r="G87" s="8" t="n">
        <f aca="false">IF(OR(E87="",F87=""),"",IF(F87=E87,24,ROUND(MOD(TIMEVALUE(F87)-TIMEVALUE(E87),1)*24,2)))</f>
        <v>8</v>
      </c>
      <c r="H87" s="8" t="str">
        <f aca="false">IF(OR(E87="",F87=""),"",IF(TIMEVALUE(F87)&lt;=TIMEVALUE(E87),"yes",""))</f>
        <v/>
      </c>
      <c r="I87" s="10" t="s">
        <v>21</v>
      </c>
      <c r="J87" s="11" t="s">
        <v>22</v>
      </c>
      <c r="K87" s="8" t="s">
        <v>23</v>
      </c>
      <c r="L87" s="12" t="s">
        <v>180</v>
      </c>
    </row>
    <row r="88" customFormat="false" ht="15" hidden="false" customHeight="false" outlineLevel="0" collapsed="false">
      <c r="A88" s="13" t="s">
        <v>225</v>
      </c>
      <c r="B88" s="13" t="s">
        <v>226</v>
      </c>
      <c r="C88" s="13" t="s">
        <v>224</v>
      </c>
      <c r="D88" s="14" t="s">
        <v>55</v>
      </c>
      <c r="E88" s="15" t="s">
        <v>20</v>
      </c>
      <c r="F88" s="15" t="s">
        <v>73</v>
      </c>
      <c r="G88" s="14" t="n">
        <f aca="false">IF(OR(E88="",F88=""),"",IF(F88=E88,24,ROUND(MOD(TIMEVALUE(F88)-TIMEVALUE(E88),1)*24,2)))</f>
        <v>4</v>
      </c>
      <c r="H88" s="14" t="str">
        <f aca="false">IF(OR(E88="",F88=""),"",IF(TIMEVALUE(F88)&lt;=TIMEVALUE(E88),"yes",""))</f>
        <v/>
      </c>
      <c r="I88" s="16" t="s">
        <v>21</v>
      </c>
      <c r="J88" s="17" t="s">
        <v>22</v>
      </c>
      <c r="K88" s="14" t="s">
        <v>32</v>
      </c>
      <c r="L88" s="18" t="s">
        <v>227</v>
      </c>
    </row>
    <row r="89" customFormat="false" ht="15" hidden="false" customHeight="false" outlineLevel="0" collapsed="false">
      <c r="A89" s="13" t="s">
        <v>228</v>
      </c>
      <c r="B89" s="13" t="s">
        <v>229</v>
      </c>
      <c r="C89" s="13" t="s">
        <v>224</v>
      </c>
      <c r="D89" s="14" t="s">
        <v>55</v>
      </c>
      <c r="E89" s="15" t="s">
        <v>92</v>
      </c>
      <c r="F89" s="15" t="s">
        <v>86</v>
      </c>
      <c r="G89" s="14" t="n">
        <f aca="false">IF(OR(E89="",F89=""),"",IF(F89=E89,24,ROUND(MOD(TIMEVALUE(F89)-TIMEVALUE(E89),1)*24,2)))</f>
        <v>4</v>
      </c>
      <c r="H89" s="14" t="str">
        <f aca="false">IF(OR(E89="",F89=""),"",IF(TIMEVALUE(F89)&lt;=TIMEVALUE(E89),"yes",""))</f>
        <v/>
      </c>
      <c r="I89" s="16" t="s">
        <v>21</v>
      </c>
      <c r="J89" s="17" t="s">
        <v>22</v>
      </c>
      <c r="K89" s="14" t="s">
        <v>32</v>
      </c>
      <c r="L89" s="18" t="s">
        <v>230</v>
      </c>
    </row>
    <row r="90" customFormat="false" ht="15" hidden="false" customHeight="false" outlineLevel="0" collapsed="false">
      <c r="A90" s="7" t="s">
        <v>231</v>
      </c>
      <c r="B90" s="7" t="s">
        <v>231</v>
      </c>
      <c r="C90" s="7" t="s">
        <v>224</v>
      </c>
      <c r="D90" s="8" t="s">
        <v>55</v>
      </c>
      <c r="E90" s="9" t="s">
        <v>20</v>
      </c>
      <c r="F90" s="9" t="s">
        <v>19</v>
      </c>
      <c r="G90" s="8" t="n">
        <f aca="false">IF(OR(E90="",F90=""),"",IF(F90=E90,24,ROUND(MOD(TIMEVALUE(F90)-TIMEVALUE(E90),1)*24,2)))</f>
        <v>8</v>
      </c>
      <c r="H90" s="8" t="str">
        <f aca="false">IF(OR(E90="",F90=""),"",IF(TIMEVALUE(F90)&lt;=TIMEVALUE(E90),"yes",""))</f>
        <v/>
      </c>
      <c r="I90" s="10" t="s">
        <v>21</v>
      </c>
      <c r="J90" s="11" t="s">
        <v>22</v>
      </c>
      <c r="K90" s="8" t="s">
        <v>23</v>
      </c>
      <c r="L90" s="12" t="s">
        <v>180</v>
      </c>
    </row>
    <row r="91" customFormat="false" ht="15" hidden="false" customHeight="false" outlineLevel="0" collapsed="false">
      <c r="A91" s="7" t="s">
        <v>232</v>
      </c>
      <c r="B91" s="7" t="s">
        <v>232</v>
      </c>
      <c r="C91" s="7" t="s">
        <v>224</v>
      </c>
      <c r="D91" s="8" t="s">
        <v>55</v>
      </c>
      <c r="E91" s="9" t="s">
        <v>20</v>
      </c>
      <c r="F91" s="9" t="s">
        <v>19</v>
      </c>
      <c r="G91" s="8" t="n">
        <f aca="false">IF(OR(E91="",F91=""),"",IF(F91=E91,24,ROUND(MOD(TIMEVALUE(F91)-TIMEVALUE(E91),1)*24,2)))</f>
        <v>8</v>
      </c>
      <c r="H91" s="8" t="str">
        <f aca="false">IF(OR(E91="",F91=""),"",IF(TIMEVALUE(F91)&lt;=TIMEVALUE(E91),"yes",""))</f>
        <v/>
      </c>
      <c r="I91" s="10" t="s">
        <v>21</v>
      </c>
      <c r="J91" s="11" t="s">
        <v>22</v>
      </c>
      <c r="K91" s="8" t="s">
        <v>23</v>
      </c>
      <c r="L91" s="12" t="s">
        <v>180</v>
      </c>
    </row>
    <row r="92" customFormat="false" ht="15" hidden="false" customHeight="false" outlineLevel="0" collapsed="false">
      <c r="A92" s="7" t="s">
        <v>233</v>
      </c>
      <c r="B92" s="7" t="s">
        <v>234</v>
      </c>
      <c r="C92" s="7" t="s">
        <v>224</v>
      </c>
      <c r="D92" s="8" t="s">
        <v>55</v>
      </c>
      <c r="E92" s="9"/>
      <c r="F92" s="9"/>
      <c r="G92" s="8" t="str">
        <f aca="false">IF(OR(E92="",F92=""),"",IF(F92=E92,24,ROUND(MOD(TIMEVALUE(F92)-TIMEVALUE(E92),1)*24,2)))</f>
        <v/>
      </c>
      <c r="H92" s="8" t="str">
        <f aca="false">IF(OR(E92="",F92=""),"",IF(TIMEVALUE(F92)&lt;=TIMEVALUE(E92),"yes",""))</f>
        <v/>
      </c>
      <c r="I92" s="10" t="s">
        <v>21</v>
      </c>
      <c r="J92" s="11" t="s">
        <v>22</v>
      </c>
      <c r="K92" s="8" t="s">
        <v>23</v>
      </c>
      <c r="L92" s="12" t="s">
        <v>235</v>
      </c>
    </row>
    <row r="93" customFormat="false" ht="15" hidden="false" customHeight="false" outlineLevel="0" collapsed="false">
      <c r="A93" s="7" t="s">
        <v>236</v>
      </c>
      <c r="B93" s="7" t="s">
        <v>237</v>
      </c>
      <c r="C93" s="7" t="s">
        <v>224</v>
      </c>
      <c r="D93" s="8" t="s">
        <v>55</v>
      </c>
      <c r="E93" s="9" t="s">
        <v>20</v>
      </c>
      <c r="F93" s="9" t="s">
        <v>19</v>
      </c>
      <c r="G93" s="8" t="n">
        <f aca="false">IF(OR(E93="",F93=""),"",IF(F93=E93,24,ROUND(MOD(TIMEVALUE(F93)-TIMEVALUE(E93),1)*24,2)))</f>
        <v>8</v>
      </c>
      <c r="H93" s="8" t="str">
        <f aca="false">IF(OR(E93="",F93=""),"",IF(TIMEVALUE(F93)&lt;=TIMEVALUE(E93),"yes",""))</f>
        <v/>
      </c>
      <c r="I93" s="10" t="s">
        <v>21</v>
      </c>
      <c r="J93" s="11" t="s">
        <v>22</v>
      </c>
      <c r="K93" s="8" t="s">
        <v>23</v>
      </c>
      <c r="L93" s="12" t="s">
        <v>180</v>
      </c>
    </row>
    <row r="94" customFormat="false" ht="15" hidden="false" customHeight="false" outlineLevel="0" collapsed="false">
      <c r="A94" s="7" t="s">
        <v>238</v>
      </c>
      <c r="B94" s="7" t="s">
        <v>239</v>
      </c>
      <c r="C94" s="7" t="s">
        <v>224</v>
      </c>
      <c r="D94" s="8" t="s">
        <v>55</v>
      </c>
      <c r="E94" s="9" t="s">
        <v>20</v>
      </c>
      <c r="F94" s="9" t="s">
        <v>19</v>
      </c>
      <c r="G94" s="8" t="n">
        <f aca="false">IF(OR(E94="",F94=""),"",IF(F94=E94,24,ROUND(MOD(TIMEVALUE(F94)-TIMEVALUE(E94),1)*24,2)))</f>
        <v>8</v>
      </c>
      <c r="H94" s="8" t="str">
        <f aca="false">IF(OR(E94="",F94=""),"",IF(TIMEVALUE(F94)&lt;=TIMEVALUE(E94),"yes",""))</f>
        <v/>
      </c>
      <c r="I94" s="10" t="s">
        <v>21</v>
      </c>
      <c r="J94" s="11" t="s">
        <v>22</v>
      </c>
      <c r="K94" s="8" t="s">
        <v>23</v>
      </c>
      <c r="L94" s="12" t="s">
        <v>180</v>
      </c>
    </row>
    <row r="95" customFormat="false" ht="15" hidden="false" customHeight="false" outlineLevel="0" collapsed="false">
      <c r="A95" s="7" t="s">
        <v>240</v>
      </c>
      <c r="B95" s="7" t="s">
        <v>241</v>
      </c>
      <c r="C95" s="7" t="s">
        <v>224</v>
      </c>
      <c r="D95" s="8" t="s">
        <v>55</v>
      </c>
      <c r="E95" s="9" t="s">
        <v>20</v>
      </c>
      <c r="F95" s="9" t="s">
        <v>19</v>
      </c>
      <c r="G95" s="8" t="n">
        <f aca="false">IF(OR(E95="",F95=""),"",IF(F95=E95,24,ROUND(MOD(TIMEVALUE(F95)-TIMEVALUE(E95),1)*24,2)))</f>
        <v>8</v>
      </c>
      <c r="H95" s="8" t="str">
        <f aca="false">IF(OR(E95="",F95=""),"",IF(TIMEVALUE(F95)&lt;=TIMEVALUE(E95),"yes",""))</f>
        <v/>
      </c>
      <c r="I95" s="10" t="s">
        <v>21</v>
      </c>
      <c r="J95" s="11" t="s">
        <v>22</v>
      </c>
      <c r="K95" s="8" t="s">
        <v>23</v>
      </c>
      <c r="L95" s="12" t="s">
        <v>180</v>
      </c>
    </row>
    <row r="96" customFormat="false" ht="15" hidden="false" customHeight="false" outlineLevel="0" collapsed="false">
      <c r="A96" s="7" t="s">
        <v>242</v>
      </c>
      <c r="B96" s="7" t="s">
        <v>242</v>
      </c>
      <c r="C96" s="7" t="s">
        <v>224</v>
      </c>
      <c r="D96" s="8" t="s">
        <v>55</v>
      </c>
      <c r="E96" s="9" t="s">
        <v>20</v>
      </c>
      <c r="F96" s="9" t="s">
        <v>19</v>
      </c>
      <c r="G96" s="8" t="n">
        <f aca="false">IF(OR(E96="",F96=""),"",IF(F96=E96,24,ROUND(MOD(TIMEVALUE(F96)-TIMEVALUE(E96),1)*24,2)))</f>
        <v>8</v>
      </c>
      <c r="H96" s="8" t="str">
        <f aca="false">IF(OR(E96="",F96=""),"",IF(TIMEVALUE(F96)&lt;=TIMEVALUE(E96),"yes",""))</f>
        <v/>
      </c>
      <c r="I96" s="10" t="s">
        <v>21</v>
      </c>
      <c r="J96" s="11" t="s">
        <v>22</v>
      </c>
      <c r="K96" s="8" t="s">
        <v>23</v>
      </c>
      <c r="L96" s="12" t="s">
        <v>180</v>
      </c>
    </row>
    <row r="97" customFormat="false" ht="15" hidden="false" customHeight="false" outlineLevel="0" collapsed="false">
      <c r="A97" s="7" t="s">
        <v>243</v>
      </c>
      <c r="B97" s="7" t="s">
        <v>243</v>
      </c>
      <c r="C97" s="7" t="s">
        <v>224</v>
      </c>
      <c r="D97" s="8" t="s">
        <v>55</v>
      </c>
      <c r="E97" s="9" t="s">
        <v>20</v>
      </c>
      <c r="F97" s="9" t="s">
        <v>19</v>
      </c>
      <c r="G97" s="8" t="n">
        <f aca="false">IF(OR(E97="",F97=""),"",IF(F97=E97,24,ROUND(MOD(TIMEVALUE(F97)-TIMEVALUE(E97),1)*24,2)))</f>
        <v>8</v>
      </c>
      <c r="H97" s="8" t="str">
        <f aca="false">IF(OR(E97="",F97=""),"",IF(TIMEVALUE(F97)&lt;=TIMEVALUE(E97),"yes",""))</f>
        <v/>
      </c>
      <c r="I97" s="10" t="s">
        <v>21</v>
      </c>
      <c r="J97" s="11" t="s">
        <v>22</v>
      </c>
      <c r="K97" s="8" t="s">
        <v>23</v>
      </c>
      <c r="L97" s="12" t="s">
        <v>180</v>
      </c>
    </row>
  </sheetData>
  <autoFilter ref="A6:L97"/>
  <dataValidations count="1">
    <dataValidation allowBlank="true" errorStyle="stop" operator="between" showDropDown="false" showErrorMessage="false" showInputMessage="false" sqref="I7:I97" type="list">
      <formula1>"Oakland,Richmond"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25" t="s">
        <v>244</v>
      </c>
    </row>
    <row r="3" customFormat="false" ht="15" hidden="false" customHeight="false" outlineLevel="0" collapsed="false">
      <c r="A3" s="26" t="s">
        <v>245</v>
      </c>
      <c r="B3" s="3" t="n">
        <f aca="false">COUNTA('Shift times'!A7:A97)</f>
        <v>91</v>
      </c>
    </row>
    <row r="4" customFormat="false" ht="15" hidden="false" customHeight="false" outlineLevel="0" collapsed="false">
      <c r="A4" s="26" t="s">
        <v>246</v>
      </c>
      <c r="B4" s="3" t="n">
        <f aca="false">COUNTIF('Shift times'!K7:K97,"CONFIRMED")</f>
        <v>23</v>
      </c>
    </row>
    <row r="5" customFormat="false" ht="15" hidden="false" customHeight="false" outlineLevel="0" collapsed="false">
      <c r="A5" s="26" t="s">
        <v>247</v>
      </c>
      <c r="B5" s="3" t="n">
        <f aca="false">COUNTIF('Shift times'!K7:K97,"ESTIMATED")</f>
        <v>68</v>
      </c>
    </row>
    <row r="6" customFormat="false" ht="15" hidden="false" customHeight="false" outlineLevel="0" collapsed="false">
      <c r="A6" s="26" t="s">
        <v>248</v>
      </c>
      <c r="B6" s="3" t="n">
        <f aca="false">COUNTBLANK('Shift times'!E7:E97)</f>
        <v>1</v>
      </c>
    </row>
    <row r="7" customFormat="false" ht="15" hidden="false" customHeight="false" outlineLevel="0" collapsed="false">
      <c r="A7" s="26" t="s">
        <v>249</v>
      </c>
      <c r="B7" s="3" t="n">
        <f aca="false">COUNTIF('Shift times'!H7:H97,"yes")</f>
        <v>9</v>
      </c>
    </row>
    <row r="8" customFormat="false" ht="15" hidden="false" customHeight="false" outlineLevel="0" collapsed="false">
      <c r="A8" s="26" t="s">
        <v>250</v>
      </c>
      <c r="B8" s="3" t="n">
        <f aca="false">COUNTIF('Shift times'!I7:I97,"Richmond")</f>
        <v>9</v>
      </c>
    </row>
    <row r="9" customFormat="false" ht="15" hidden="false" customHeight="false" outlineLevel="0" collapsed="false">
      <c r="A9" s="26" t="s">
        <v>251</v>
      </c>
      <c r="B9" s="3" t="n">
        <f aca="false">COUNTIF('Shift times'!I7:I97,"Oakland")</f>
        <v>82</v>
      </c>
    </row>
    <row r="10" customFormat="false" ht="15" hidden="false" customHeight="false" outlineLevel="0" collapsed="false">
      <c r="A10" s="26" t="s">
        <v>252</v>
      </c>
      <c r="B10" s="3" t="n">
        <f aca="false">COUNTIF('Shift times'!J7:J97,"CHECK ME")</f>
        <v>2</v>
      </c>
    </row>
    <row r="12" customFormat="false" ht="15" hidden="false" customHeight="false" outlineLevel="0" collapsed="false">
      <c r="A12" s="27" t="s">
        <v>253</v>
      </c>
    </row>
    <row r="13" customFormat="false" ht="23.85" hidden="false" customHeight="false" outlineLevel="0" collapsed="false">
      <c r="A13" s="28" t="s">
        <v>254</v>
      </c>
    </row>
    <row r="14" customFormat="false" ht="15" hidden="false" customHeight="false" outlineLevel="0" collapsed="false">
      <c r="A14" s="28" t="s">
        <v>255</v>
      </c>
    </row>
    <row r="15" customFormat="false" ht="15" hidden="false" customHeight="false" outlineLevel="0" collapsed="false">
      <c r="A15" s="28" t="s">
        <v>256</v>
      </c>
    </row>
    <row r="16" customFormat="false" ht="23.85" hidden="false" customHeight="false" outlineLevel="0" collapsed="false">
      <c r="A16" s="28" t="s">
        <v>257</v>
      </c>
    </row>
    <row r="17" customFormat="false" ht="23.85" hidden="false" customHeight="false" outlineLevel="0" collapsed="false">
      <c r="A17" s="28" t="s">
        <v>258</v>
      </c>
    </row>
    <row r="18" customFormat="false" ht="15" hidden="false" customHeight="false" outlineLevel="0" collapsed="false">
      <c r="A18" s="28" t="s">
        <v>259</v>
      </c>
    </row>
    <row r="19" customFormat="false" ht="15" hidden="false" customHeight="false" outlineLevel="0" collapsed="false">
      <c r="A19" s="28" t="s">
        <v>260</v>
      </c>
    </row>
    <row r="20" customFormat="false" ht="15" hidden="false" customHeight="false" outlineLevel="0" collapsed="false">
      <c r="A20" s="28" t="s">
        <v>261</v>
      </c>
    </row>
    <row r="21" customFormat="false" ht="23.85" hidden="false" customHeight="false" outlineLevel="0" collapsed="false">
      <c r="A21" s="28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2026-08-16T00:05:22Z</dcterms:created>
  <dc:creator>openpyxl</dc:creator>
  <dc:description/>
  <dc:language>en-US</dc:language>
  <cp:lastModifiedBy/>
  <dcterms:modified xsi:type="dcterms:W3CDTF">2026-08-16T00:05:22Z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